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84851929c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e74a157c6124068"/>
    <x:sheet xmlns:r="http://schemas.openxmlformats.org/officeDocument/2006/relationships" name="入学人口" sheetId="2" r:id="R987ad8c2d85f42f5"/>
    <x:sheet xmlns:r="http://schemas.openxmlformats.org/officeDocument/2006/relationships" name="高考人口" sheetId="3" r:id="Ra97d5a6747a54d50"/>
    <x:sheet xmlns:r="http://schemas.openxmlformats.org/officeDocument/2006/relationships" name="本科实际录取" sheetId="4" r:id="Rbf378767e18343da"/>
    <x:sheet xmlns:r="http://schemas.openxmlformats.org/officeDocument/2006/relationships" name="本科线上" sheetId="5" r:id="R96ae25b1dc8c4a07"/>
    <x:sheet xmlns:r="http://schemas.openxmlformats.org/officeDocument/2006/relationships" name="内部核验" sheetId="6" r:id="Rbde2ec96acd14f83"/>
    <x:sheet xmlns:r="http://schemas.openxmlformats.org/officeDocument/2006/relationships" name="公报交叉核验" sheetId="7" r:id="R06ee15552ec844de"/>
    <x:sheet xmlns:r="http://schemas.openxmlformats.org/officeDocument/2006/relationships" name="数据字典" sheetId="8" r:id="R40e4c16875e6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6">
    <x:font>
      <x:sz val="11"/>
      <x:name val="Carlito"/>
    </x:font>
    <x:font>
      <x:b/>
      <x:sz val="18"/>
      <x:color rgb="FFFBF8F1"/>
      <x:name val="Carlito"/>
    </x:font>
    <x:font>
      <x:i/>
      <x:sz val="10"/>
      <x:color rgb="FF6B665D"/>
      <x:name val="Carlito"/>
    </x:font>
    <x:font>
      <x:b/>
      <x:sz val="10"/>
      <x:color rgb="FFFBF8F1"/>
      <x:name val="Carlito"/>
    </x:font>
    <x:font>
      <x:sz val="10"/>
      <x:color rgb="FF17201E"/>
      <x:name val="Carlito"/>
    </x:font>
    <x:font>
      <x:b/>
      <x:sz val="10"/>
      <x:color rgb="FFC640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4EFE4"/>
      </x:patternFill>
    </x:fill>
    <x:fill>
      <x:patternFill patternType="solid">
        <x:fgColor rgb="FFC6402C"/>
      </x:patternFill>
    </x:fill>
    <x:fill>
      <x:patternFill patternType="solid">
        <x:fgColor rgb="FFFBF8F1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a8f02f0dc4b10" /><Relationship Type="http://schemas.openxmlformats.org/officeDocument/2006/relationships/theme" Target="/xl/theme/theme1.xml" Id="R45ba0faee2a947aa" /><Relationship Type="http://schemas.openxmlformats.org/officeDocument/2006/relationships/sharedStrings" Target="/xl/sharedStrings.xml" Id="R68aabed56dc844a4" /><Relationship Type="http://schemas.openxmlformats.org/officeDocument/2006/relationships/worksheet" Target="/xl/worksheets/sheet1.xml" Id="Ree74a157c6124068" /><Relationship Type="http://schemas.openxmlformats.org/officeDocument/2006/relationships/worksheet" Target="/xl/worksheets/sheet2.xml" Id="R987ad8c2d85f42f5" /><Relationship Type="http://schemas.openxmlformats.org/officeDocument/2006/relationships/worksheet" Target="/xl/worksheets/sheet3.xml" Id="Ra97d5a6747a54d50" /><Relationship Type="http://schemas.openxmlformats.org/officeDocument/2006/relationships/worksheet" Target="/xl/worksheets/sheet4.xml" Id="Rbf378767e18343da" /><Relationship Type="http://schemas.openxmlformats.org/officeDocument/2006/relationships/worksheet" Target="/xl/worksheets/sheet5.xml" Id="R96ae25b1dc8c4a07" /><Relationship Type="http://schemas.openxmlformats.org/officeDocument/2006/relationships/worksheet" Target="/xl/worksheets/sheet6.xml" Id="Rbde2ec96acd14f83" /><Relationship Type="http://schemas.openxmlformats.org/officeDocument/2006/relationships/worksheet" Target="/xl/worksheets/sheet7.xml" Id="R06ee15552ec844de" /><Relationship Type="http://schemas.openxmlformats.org/officeDocument/2006/relationships/worksheet" Target="/xl/worksheets/sheet8.xml" Id="R40e4c16875e6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44" hidden="0" customWidth="1"/>
  </x:cols>
  <x:sheetData>
    <x:row r="1" ht="34" customHeight="1">
      <x:c r="A1" s="3" t="str">
        <x:v>京学龄｜北京教育人口数据包</x:v>
      </x:c>
      <x:c r="B1" s="3"/>
      <x:c r="C1" s="3"/>
    </x:row>
    <x:row r="2" ht="28" customHeight="1">
      <x:c r="A2" s="7" t="str">
        <x:v>版本：2026-07-20。网页主序列、原始来源与质量核验的可下载底表。</x:v>
      </x:c>
      <x:c r="B2" s="7"/>
      <x:c r="C2" s="7"/>
    </x:row>
    <x:row r="4" ht="24" customHeight="1">
      <x:c r="A4" s="11" t="str">
        <x:v>主题</x:v>
      </x:c>
      <x:c r="B4" s="11" t="str">
        <x:v>说明</x:v>
      </x:c>
      <x:c r="C4" s="11" t="str">
        <x:v>使用建议</x:v>
      </x:c>
    </x:row>
    <x:row r="5" ht="32" customHeight="1">
      <x:c r="A5" s="16" t="str">
        <x:v>主序列</x:v>
      </x:c>
      <x:c r="B5" s="15" t="str">
        <x:v>2014—2025年北京市、西城区、朝阳区小学、普通初中、普通高中招生数。</x:v>
      </x:c>
      <x:c r="C5" s="15" t="str">
        <x:v>优先用于同口径趋势分析。</x:v>
      </x:c>
    </x:row>
    <x:row r="6" ht="32" customHeight="1">
      <x:c r="A6" s="16" t="str">
        <x:v>高考人口</x:v>
      </x:c>
      <x:c r="B6" s="15" t="str">
        <x:v>每年保留原始发布口径：报名、参加统一高考或实际参加。</x:v>
      </x:c>
      <x:c r="C6" s="15" t="str">
        <x:v>跨年比较前必须查看“口径”列。</x:v>
      </x:c>
    </x:row>
    <x:row r="7" ht="32" customHeight="1">
      <x:c r="A7" s="16" t="str">
        <x:v>本科实际录取</x:v>
      </x:c>
      <x:c r="B7" s="15" t="str">
        <x:v>2010—2019年可核实的实际本科录取人数，存在空年。</x:v>
      </x:c>
      <x:c r="C7" s="15" t="str">
        <x:v>不要与本科线上人数拼接。</x:v>
      </x:c>
    </x:row>
    <x:row r="8" ht="32" customHeight="1">
      <x:c r="A8" s="16" t="str">
        <x:v>本科线上</x:v>
      </x:c>
      <x:c r="B8" s="15" t="str">
        <x:v>2020—2025年普通本科控制线及以上累计人数。</x:v>
      </x:c>
      <x:c r="C8" s="15" t="str">
        <x:v>上线不等于最终录取。</x:v>
      </x:c>
    </x:row>
    <x:row r="9" ht="32" customHeight="1">
      <x:c r="A9" s="16" t="str">
        <x:v>区级缺口</x:v>
      </x:c>
      <x:c r="B9" s="15" t="str">
        <x:v>西城、朝阳未找到连续的本科绝对人数。</x:v>
      </x:c>
      <x:c r="C9" s="15" t="str">
        <x:v>不得按全市比例反推。</x:v>
      </x:c>
    </x:row>
    <x:row r="10" ht="32" customHeight="1">
      <x:c r="A10" s="16" t="str">
        <x:v>质量等级</x:v>
      </x:c>
      <x:c r="B10" s="15" t="str">
        <x:v>A=政府/考试院原始表或官方发布；B=权威机构转引；C=媒体历史汇总。</x:v>
      </x:c>
      <x:c r="C10" s="15" t="str">
        <x:v>筛选或展示时保留等级。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9" hidden="0" customWidth="1"/>
    <x:col min="8" max="8" width="42" hidden="0" customWidth="1"/>
    <x:col min="9" max="9" width="42" hidden="0" customWidth="1"/>
    <x:col min="10" max="10" width="42" hidden="0" customWidth="1"/>
  </x:cols>
  <x:sheetData>
    <x:row r="1" ht="34" customHeight="1">
      <x:c r="A1" s="3" t="str">
        <x:v>分区域入学人口主序列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来源：北京市教委教育统计概况原始工作簿；单位均为人。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1" t="str">
        <x:v>年份</x:v>
      </x:c>
      <x:c r="B4" s="11" t="str">
        <x:v>学年</x:v>
      </x:c>
      <x:c r="C4" s="11" t="str">
        <x:v>区域</x:v>
      </x:c>
      <x:c r="D4" s="11" t="str">
        <x:v>小学招生</x:v>
      </x:c>
      <x:c r="E4" s="11" t="str">
        <x:v>初中招生</x:v>
      </x:c>
      <x:c r="F4" s="11" t="str">
        <x:v>普通高中招生</x:v>
      </x:c>
      <x:c r="G4" s="11" t="str">
        <x:v>质量</x:v>
      </x:c>
      <x:c r="H4" s="11" t="str">
        <x:v>市教委索引页</x:v>
      </x:c>
      <x:c r="I4" s="11" t="str">
        <x:v>小学原表</x:v>
      </x:c>
      <x:c r="J4" s="11" t="str">
        <x:v>中学原表</x:v>
      </x:c>
    </x:row>
    <x:row r="5" ht="34" customHeight="1">
      <x:c r="A5" s="15" t="n">
        <x:v>2014</x:v>
      </x:c>
      <x:c r="B5" s="15" t="str">
        <x:v>2014-2015</x:v>
      </x:c>
      <x:c r="C5" s="15" t="str">
        <x:v>北京市</x:v>
      </x:c>
      <x:c r="D5" s="17" t="n">
        <x:v>153249</x:v>
      </x:c>
      <x:c r="E5" s="17" t="n">
        <x:v>102693</x:v>
      </x:c>
      <x:c r="F5" s="17" t="n">
        <x:v>55184</x:v>
      </x:c>
      <x:c r="G5" s="15" t="str">
        <x:v>A</x:v>
      </x:c>
      <x:c r="H5" s="15" t="str">
        <x:v>https://jw.beijing.gov.cn/xxgk/shujufab/tongjigaikuang/202003/t20200325_2709333.html</x:v>
      </x:c>
      <x:c r="I5" s="15" t="str">
        <x:v>https://jw.beijing.gov.cn/xxgk/shujufab/tongjigaikuang/202003/P020200109615970062769.xls</x:v>
      </x:c>
      <x:c r="J5" s="15" t="str">
        <x:v>https://jw.beijing.gov.cn/xxgk/shujufab/tongjigaikuang/202003/P020220322401495631272.xls</x:v>
      </x:c>
    </x:row>
    <x:row r="6" ht="34" customHeight="1">
      <x:c r="A6" s="15" t="n">
        <x:v>2014</x:v>
      </x:c>
      <x:c r="B6" s="15" t="str">
        <x:v>2014-2015</x:v>
      </x:c>
      <x:c r="C6" s="15" t="str">
        <x:v>西城区</x:v>
      </x:c>
      <x:c r="D6" s="17" t="n">
        <x:v>12488</x:v>
      </x:c>
      <x:c r="E6" s="17" t="n">
        <x:v>8684</x:v>
      </x:c>
      <x:c r="F6" s="17" t="n">
        <x:v>7022</x:v>
      </x:c>
      <x:c r="G6" s="15" t="str">
        <x:v>A</x:v>
      </x:c>
      <x:c r="H6" s="15" t="str">
        <x:v>https://jw.beijing.gov.cn/xxgk/shujufab/tongjigaikuang/202003/t20200325_2709333.html</x:v>
      </x:c>
      <x:c r="I6" s="15" t="str">
        <x:v>https://jw.beijing.gov.cn/xxgk/shujufab/tongjigaikuang/202003/P020200109615970062769.xls</x:v>
      </x:c>
      <x:c r="J6" s="15" t="str">
        <x:v>https://jw.beijing.gov.cn/xxgk/shujufab/tongjigaikuang/202003/P020220322401495631272.xls</x:v>
      </x:c>
    </x:row>
    <x:row r="7" ht="34" customHeight="1">
      <x:c r="A7" s="15" t="n">
        <x:v>2014</x:v>
      </x:c>
      <x:c r="B7" s="15" t="str">
        <x:v>2014-2015</x:v>
      </x:c>
      <x:c r="C7" s="15" t="str">
        <x:v>朝阳区</x:v>
      </x:c>
      <x:c r="D7" s="17" t="n">
        <x:v>25745</x:v>
      </x:c>
      <x:c r="E7" s="17" t="n">
        <x:v>13898</x:v>
      </x:c>
      <x:c r="F7" s="17" t="n">
        <x:v>4362</x:v>
      </x:c>
      <x:c r="G7" s="15" t="str">
        <x:v>A</x:v>
      </x:c>
      <x:c r="H7" s="15" t="str">
        <x:v>https://jw.beijing.gov.cn/xxgk/shujufab/tongjigaikuang/202003/t20200325_2709333.html</x:v>
      </x:c>
      <x:c r="I7" s="15" t="str">
        <x:v>https://jw.beijing.gov.cn/xxgk/shujufab/tongjigaikuang/202003/P020200109615970062769.xls</x:v>
      </x:c>
      <x:c r="J7" s="15" t="str">
        <x:v>https://jw.beijing.gov.cn/xxgk/shujufab/tongjigaikuang/202003/P020220322401495631272.xls</x:v>
      </x:c>
    </x:row>
    <x:row r="8" ht="34" customHeight="1">
      <x:c r="A8" s="15" t="n">
        <x:v>2015</x:v>
      </x:c>
      <x:c r="B8" s="15" t="str">
        <x:v>2015-2016</x:v>
      </x:c>
      <x:c r="C8" s="15" t="str">
        <x:v>北京市</x:v>
      </x:c>
      <x:c r="D8" s="17" t="n">
        <x:v>145876</x:v>
      </x:c>
      <x:c r="E8" s="17" t="n">
        <x:v>89152</x:v>
      </x:c>
      <x:c r="F8" s="17" t="n">
        <x:v>56743</x:v>
      </x:c>
      <x:c r="G8" s="15" t="str">
        <x:v>A</x:v>
      </x:c>
      <x:c r="H8" s="15" t="str">
        <x:v>https://jw.beijing.gov.cn/xxgk/shujufab/tongjigaikuang/202101/t20210115_2709331.html</x:v>
      </x:c>
      <x:c r="I8" s="15" t="str">
        <x:v>https://jw.beijing.gov.cn/xxgk/shujufab/tongjigaikuang/202101/P020191225501238533126.xlsx</x:v>
      </x:c>
      <x:c r="J8" s="15" t="str">
        <x:v>https://jw.beijing.gov.cn/xxgk/shujufab/tongjigaikuang/202101/P020191225501238447486.xlsx</x:v>
      </x:c>
    </x:row>
    <x:row r="9" ht="34" customHeight="1">
      <x:c r="A9" s="15" t="n">
        <x:v>2015</x:v>
      </x:c>
      <x:c r="B9" s="15" t="str">
        <x:v>2015-2016</x:v>
      </x:c>
      <x:c r="C9" s="15" t="str">
        <x:v>西城区</x:v>
      </x:c>
      <x:c r="D9" s="17" t="n">
        <x:v>13074</x:v>
      </x:c>
      <x:c r="E9" s="17" t="n">
        <x:v>7857</x:v>
      </x:c>
      <x:c r="F9" s="17" t="n">
        <x:v>7068</x:v>
      </x:c>
      <x:c r="G9" s="15" t="str">
        <x:v>A</x:v>
      </x:c>
      <x:c r="H9" s="15" t="str">
        <x:v>https://jw.beijing.gov.cn/xxgk/shujufab/tongjigaikuang/202101/t20210115_2709331.html</x:v>
      </x:c>
      <x:c r="I9" s="15" t="str">
        <x:v>https://jw.beijing.gov.cn/xxgk/shujufab/tongjigaikuang/202101/P020191225501238533126.xlsx</x:v>
      </x:c>
      <x:c r="J9" s="15" t="str">
        <x:v>https://jw.beijing.gov.cn/xxgk/shujufab/tongjigaikuang/202101/P020191225501238447486.xlsx</x:v>
      </x:c>
    </x:row>
    <x:row r="10" ht="34" customHeight="1">
      <x:c r="A10" s="15" t="n">
        <x:v>2015</x:v>
      </x:c>
      <x:c r="B10" s="15" t="str">
        <x:v>2015-2016</x:v>
      </x:c>
      <x:c r="C10" s="15" t="str">
        <x:v>朝阳区</x:v>
      </x:c>
      <x:c r="D10" s="17" t="n">
        <x:v>21176</x:v>
      </x:c>
      <x:c r="E10" s="17" t="n">
        <x:v>12153</x:v>
      </x:c>
      <x:c r="F10" s="17" t="n">
        <x:v>4665</x:v>
      </x:c>
      <x:c r="G10" s="15" t="str">
        <x:v>A</x:v>
      </x:c>
      <x:c r="H10" s="15" t="str">
        <x:v>https://jw.beijing.gov.cn/xxgk/shujufab/tongjigaikuang/202101/t20210115_2709331.html</x:v>
      </x:c>
      <x:c r="I10" s="15" t="str">
        <x:v>https://jw.beijing.gov.cn/xxgk/shujufab/tongjigaikuang/202101/P020191225501238533126.xlsx</x:v>
      </x:c>
      <x:c r="J10" s="15" t="str">
        <x:v>https://jw.beijing.gov.cn/xxgk/shujufab/tongjigaikuang/202101/P020191225501238447486.xlsx</x:v>
      </x:c>
    </x:row>
    <x:row r="11" ht="34" customHeight="1">
      <x:c r="A11" s="15" t="n">
        <x:v>2016</x:v>
      </x:c>
      <x:c r="B11" s="15" t="str">
        <x:v>2016-2017</x:v>
      </x:c>
      <x:c r="C11" s="15" t="str">
        <x:v>北京市</x:v>
      </x:c>
      <x:c r="D11" s="17" t="n">
        <x:v>145274</x:v>
      </x:c>
      <x:c r="E11" s="17" t="n">
        <x:v>91854</x:v>
      </x:c>
      <x:c r="F11" s="17" t="n">
        <x:v>53544</x:v>
      </x:c>
      <x:c r="G11" s="15" t="str">
        <x:v>A</x:v>
      </x:c>
      <x:c r="H11" s="15" t="str">
        <x:v>https://jw.beijing.gov.cn/xxgk/shujufab/tongjigaikuang/202003/t20200325_2709336.html</x:v>
      </x:c>
      <x:c r="I11" s="15" t="str">
        <x:v>https://jw.beijing.gov.cn/xxgk/shujufab/tongjigaikuang/202003/P020200109394852705892.xlsx</x:v>
      </x:c>
      <x:c r="J11" s="15" t="str">
        <x:v>https://jw.beijing.gov.cn/xxgk/shujufab/tongjigaikuang/202003/P020200109394852568832.xlsx</x:v>
      </x:c>
    </x:row>
    <x:row r="12" ht="34" customHeight="1">
      <x:c r="A12" s="15" t="n">
        <x:v>2016</x:v>
      </x:c>
      <x:c r="B12" s="15" t="str">
        <x:v>2016-2017</x:v>
      </x:c>
      <x:c r="C12" s="15" t="str">
        <x:v>西城区</x:v>
      </x:c>
      <x:c r="D12" s="17" t="n">
        <x:v>13455</x:v>
      </x:c>
      <x:c r="E12" s="17" t="n">
        <x:v>8325</x:v>
      </x:c>
      <x:c r="F12" s="17" t="n">
        <x:v>6603</x:v>
      </x:c>
      <x:c r="G12" s="15" t="str">
        <x:v>A</x:v>
      </x:c>
      <x:c r="H12" s="15" t="str">
        <x:v>https://jw.beijing.gov.cn/xxgk/shujufab/tongjigaikuang/202003/t20200325_2709336.html</x:v>
      </x:c>
      <x:c r="I12" s="15" t="str">
        <x:v>https://jw.beijing.gov.cn/xxgk/shujufab/tongjigaikuang/202003/P020200109394852705892.xlsx</x:v>
      </x:c>
      <x:c r="J12" s="15" t="str">
        <x:v>https://jw.beijing.gov.cn/xxgk/shujufab/tongjigaikuang/202003/P020200109394852568832.xlsx</x:v>
      </x:c>
    </x:row>
    <x:row r="13" ht="34" customHeight="1">
      <x:c r="A13" s="15" t="n">
        <x:v>2016</x:v>
      </x:c>
      <x:c r="B13" s="15" t="str">
        <x:v>2016-2017</x:v>
      </x:c>
      <x:c r="C13" s="15" t="str">
        <x:v>朝阳区</x:v>
      </x:c>
      <x:c r="D13" s="17" t="n">
        <x:v>22093</x:v>
      </x:c>
      <x:c r="E13" s="17" t="n">
        <x:v>12910</x:v>
      </x:c>
      <x:c r="F13" s="17" t="n">
        <x:v>4537</x:v>
      </x:c>
      <x:c r="G13" s="15" t="str">
        <x:v>A</x:v>
      </x:c>
      <x:c r="H13" s="15" t="str">
        <x:v>https://jw.beijing.gov.cn/xxgk/shujufab/tongjigaikuang/202003/t20200325_2709336.html</x:v>
      </x:c>
      <x:c r="I13" s="15" t="str">
        <x:v>https://jw.beijing.gov.cn/xxgk/shujufab/tongjigaikuang/202003/P020200109394852705892.xlsx</x:v>
      </x:c>
      <x:c r="J13" s="15" t="str">
        <x:v>https://jw.beijing.gov.cn/xxgk/shujufab/tongjigaikuang/202003/P020200109394852568832.xlsx</x:v>
      </x:c>
    </x:row>
    <x:row r="14" ht="34" customHeight="1">
      <x:c r="A14" s="15" t="n">
        <x:v>2017</x:v>
      </x:c>
      <x:c r="B14" s="15" t="str">
        <x:v>2017-2018</x:v>
      </x:c>
      <x:c r="C14" s="15" t="str">
        <x:v>北京市</x:v>
      </x:c>
      <x:c r="D14" s="17" t="n">
        <x:v>157559</x:v>
      </x:c>
      <x:c r="E14" s="17" t="n">
        <x:v>103263</x:v>
      </x:c>
      <x:c r="F14" s="17" t="n">
        <x:v>53755</x:v>
      </x:c>
      <x:c r="G14" s="15" t="str">
        <x:v>A</x:v>
      </x:c>
      <x:c r="H14" s="15" t="str">
        <x:v>https://jw.beijing.gov.cn/xxgk/shujufab/tongjigaikuang/202003/t20200325_2709335.html</x:v>
      </x:c>
      <x:c r="I14" s="15" t="str">
        <x:v>https://jw.beijing.gov.cn/xxgk/shujufab/tongjigaikuang/202003/P020200109402453540600.xlsx</x:v>
      </x:c>
      <x:c r="J14" s="15" t="str">
        <x:v>https://jw.beijing.gov.cn/xxgk/shujufab/tongjigaikuang/202003/P020200109402453449184.xlsx</x:v>
      </x:c>
    </x:row>
    <x:row r="15" ht="34" customHeight="1">
      <x:c r="A15" s="15" t="n">
        <x:v>2017</x:v>
      </x:c>
      <x:c r="B15" s="15" t="str">
        <x:v>2017-2018</x:v>
      </x:c>
      <x:c r="C15" s="15" t="str">
        <x:v>西城区</x:v>
      </x:c>
      <x:c r="D15" s="17" t="n">
        <x:v>15050</x:v>
      </x:c>
      <x:c r="E15" s="17" t="n">
        <x:v>10181</x:v>
      </x:c>
      <x:c r="F15" s="17" t="n">
        <x:v>6596</x:v>
      </x:c>
      <x:c r="G15" s="15" t="str">
        <x:v>A</x:v>
      </x:c>
      <x:c r="H15" s="15" t="str">
        <x:v>https://jw.beijing.gov.cn/xxgk/shujufab/tongjigaikuang/202003/t20200325_2709335.html</x:v>
      </x:c>
      <x:c r="I15" s="15" t="str">
        <x:v>https://jw.beijing.gov.cn/xxgk/shujufab/tongjigaikuang/202003/P020200109402453540600.xlsx</x:v>
      </x:c>
      <x:c r="J15" s="15" t="str">
        <x:v>https://jw.beijing.gov.cn/xxgk/shujufab/tongjigaikuang/202003/P020200109402453449184.xlsx</x:v>
      </x:c>
    </x:row>
    <x:row r="16" ht="34" customHeight="1">
      <x:c r="A16" s="15" t="n">
        <x:v>2017</x:v>
      </x:c>
      <x:c r="B16" s="15" t="str">
        <x:v>2017-2018</x:v>
      </x:c>
      <x:c r="C16" s="15" t="str">
        <x:v>朝阳区</x:v>
      </x:c>
      <x:c r="D16" s="17" t="n">
        <x:v>24570</x:v>
      </x:c>
      <x:c r="E16" s="17" t="n">
        <x:v>14290</x:v>
      </x:c>
      <x:c r="F16" s="17" t="n">
        <x:v>4430</x:v>
      </x:c>
      <x:c r="G16" s="15" t="str">
        <x:v>A</x:v>
      </x:c>
      <x:c r="H16" s="15" t="str">
        <x:v>https://jw.beijing.gov.cn/xxgk/shujufab/tongjigaikuang/202003/t20200325_2709335.html</x:v>
      </x:c>
      <x:c r="I16" s="15" t="str">
        <x:v>https://jw.beijing.gov.cn/xxgk/shujufab/tongjigaikuang/202003/P020200109402453540600.xlsx</x:v>
      </x:c>
      <x:c r="J16" s="15" t="str">
        <x:v>https://jw.beijing.gov.cn/xxgk/shujufab/tongjigaikuang/202003/P020200109402453449184.xlsx</x:v>
      </x:c>
    </x:row>
    <x:row r="17" ht="34" customHeight="1">
      <x:c r="A17" s="15" t="n">
        <x:v>2018</x:v>
      </x:c>
      <x:c r="B17" s="15" t="str">
        <x:v>2018-2019</x:v>
      </x:c>
      <x:c r="C17" s="15" t="str">
        <x:v>北京市</x:v>
      </x:c>
      <x:c r="D17" s="17" t="n">
        <x:v>184339</x:v>
      </x:c>
      <x:c r="E17" s="17" t="n">
        <x:v>100984</x:v>
      </x:c>
      <x:c r="F17" s="17" t="n">
        <x:v>47355</x:v>
      </x:c>
      <x:c r="G17" s="15" t="str">
        <x:v>A</x:v>
      </x:c>
      <x:c r="H17" s="15" t="str">
        <x:v>https://jw.beijing.gov.cn/xxgk/shujufab/tongjigaikuang/202003/t20200325_2709334.html</x:v>
      </x:c>
      <x:c r="I17" s="15" t="str">
        <x:v>https://jw.beijing.gov.cn/xxgk/shujufab/tongjigaikuang/202003/P020200109405505467440.xls</x:v>
      </x:c>
      <x:c r="J17" s="15" t="str">
        <x:v>https://jw.beijing.gov.cn/xxgk/shujufab/tongjigaikuang/202003/P020200109405505375686.xls</x:v>
      </x:c>
    </x:row>
    <x:row r="18" ht="34" customHeight="1">
      <x:c r="A18" s="15" t="n">
        <x:v>2018</x:v>
      </x:c>
      <x:c r="B18" s="15" t="str">
        <x:v>2018-2019</x:v>
      </x:c>
      <x:c r="C18" s="15" t="str">
        <x:v>西城区</x:v>
      </x:c>
      <x:c r="D18" s="17" t="n">
        <x:v>18328</x:v>
      </x:c>
      <x:c r="E18" s="17" t="n">
        <x:v>10119</x:v>
      </x:c>
      <x:c r="F18" s="17" t="n">
        <x:v>5697</x:v>
      </x:c>
      <x:c r="G18" s="15" t="str">
        <x:v>A</x:v>
      </x:c>
      <x:c r="H18" s="15" t="str">
        <x:v>https://jw.beijing.gov.cn/xxgk/shujufab/tongjigaikuang/202003/t20200325_2709334.html</x:v>
      </x:c>
      <x:c r="I18" s="15" t="str">
        <x:v>https://jw.beijing.gov.cn/xxgk/shujufab/tongjigaikuang/202003/P020200109405505467440.xls</x:v>
      </x:c>
      <x:c r="J18" s="15" t="str">
        <x:v>https://jw.beijing.gov.cn/xxgk/shujufab/tongjigaikuang/202003/P020200109405505375686.xls</x:v>
      </x:c>
    </x:row>
    <x:row r="19" ht="34" customHeight="1">
      <x:c r="A19" s="15" t="n">
        <x:v>2018</x:v>
      </x:c>
      <x:c r="B19" s="15" t="str">
        <x:v>2018-2019</x:v>
      </x:c>
      <x:c r="C19" s="15" t="str">
        <x:v>朝阳区</x:v>
      </x:c>
      <x:c r="D19" s="17" t="n">
        <x:v>28505</x:v>
      </x:c>
      <x:c r="E19" s="17" t="n">
        <x:v>13693</x:v>
      </x:c>
      <x:c r="F19" s="17" t="n">
        <x:v>3745</x:v>
      </x:c>
      <x:c r="G19" s="15" t="str">
        <x:v>A</x:v>
      </x:c>
      <x:c r="H19" s="15" t="str">
        <x:v>https://jw.beijing.gov.cn/xxgk/shujufab/tongjigaikuang/202003/t20200325_2709334.html</x:v>
      </x:c>
      <x:c r="I19" s="15" t="str">
        <x:v>https://jw.beijing.gov.cn/xxgk/shujufab/tongjigaikuang/202003/P020200109405505467440.xls</x:v>
      </x:c>
      <x:c r="J19" s="15" t="str">
        <x:v>https://jw.beijing.gov.cn/xxgk/shujufab/tongjigaikuang/202003/P020200109405505375686.xls</x:v>
      </x:c>
    </x:row>
    <x:row r="20" ht="34" customHeight="1">
      <x:c r="A20" s="15" t="n">
        <x:v>2019</x:v>
      </x:c>
      <x:c r="B20" s="15" t="str">
        <x:v>2019-2020</x:v>
      </x:c>
      <x:c r="C20" s="15" t="str">
        <x:v>北京市</x:v>
      </x:c>
      <x:c r="D20" s="17" t="n">
        <x:v>182873</x:v>
      </x:c>
      <x:c r="E20" s="17" t="n">
        <x:v>117398</x:v>
      </x:c>
      <x:c r="F20" s="17" t="n">
        <x:v>51403</x:v>
      </x:c>
      <x:c r="G20" s="15" t="str">
        <x:v>A</x:v>
      </x:c>
      <x:c r="H20" s="15" t="str">
        <x:v>https://jw.beijing.gov.cn/xxgk/shujufab/tongjigaikuang/202003/t20200325_2709332.html</x:v>
      </x:c>
      <x:c r="I20" s="15" t="str">
        <x:v>https://jw.beijing.gov.cn/xxgk/shujufab/tongjigaikuang/202003/P020200324582920923290.xls</x:v>
      </x:c>
      <x:c r="J20" s="15" t="str">
        <x:v>https://jw.beijing.gov.cn/xxgk/shujufab/tongjigaikuang/202003/P020200324582920890909.xls</x:v>
      </x:c>
    </x:row>
    <x:row r="21" ht="34" customHeight="1">
      <x:c r="A21" s="15" t="n">
        <x:v>2019</x:v>
      </x:c>
      <x:c r="B21" s="15" t="str">
        <x:v>2019-2020</x:v>
      </x:c>
      <x:c r="C21" s="15" t="str">
        <x:v>西城区</x:v>
      </x:c>
      <x:c r="D21" s="17" t="n">
        <x:v>18623</x:v>
      </x:c>
      <x:c r="E21" s="17" t="n">
        <x:v>12513</x:v>
      </x:c>
      <x:c r="F21" s="17" t="n">
        <x:v>6120</x:v>
      </x:c>
      <x:c r="G21" s="15" t="str">
        <x:v>A</x:v>
      </x:c>
      <x:c r="H21" s="15" t="str">
        <x:v>https://jw.beijing.gov.cn/xxgk/shujufab/tongjigaikuang/202003/t20200325_2709332.html</x:v>
      </x:c>
      <x:c r="I21" s="15" t="str">
        <x:v>https://jw.beijing.gov.cn/xxgk/shujufab/tongjigaikuang/202003/P020200324582920923290.xls</x:v>
      </x:c>
      <x:c r="J21" s="15" t="str">
        <x:v>https://jw.beijing.gov.cn/xxgk/shujufab/tongjigaikuang/202003/P020200324582920890909.xls</x:v>
      </x:c>
    </x:row>
    <x:row r="22" ht="34" customHeight="1">
      <x:c r="A22" s="15" t="n">
        <x:v>2019</x:v>
      </x:c>
      <x:c r="B22" s="15" t="str">
        <x:v>2019-2020</x:v>
      </x:c>
      <x:c r="C22" s="15" t="str">
        <x:v>朝阳区</x:v>
      </x:c>
      <x:c r="D22" s="17" t="n">
        <x:v>28305</x:v>
      </x:c>
      <x:c r="E22" s="17" t="n">
        <x:v>16618</x:v>
      </x:c>
      <x:c r="F22" s="17" t="n">
        <x:v>4206</x:v>
      </x:c>
      <x:c r="G22" s="15" t="str">
        <x:v>A</x:v>
      </x:c>
      <x:c r="H22" s="15" t="str">
        <x:v>https://jw.beijing.gov.cn/xxgk/shujufab/tongjigaikuang/202003/t20200325_2709332.html</x:v>
      </x:c>
      <x:c r="I22" s="15" t="str">
        <x:v>https://jw.beijing.gov.cn/xxgk/shujufab/tongjigaikuang/202003/P020200324582920923290.xls</x:v>
      </x:c>
      <x:c r="J22" s="15" t="str">
        <x:v>https://jw.beijing.gov.cn/xxgk/shujufab/tongjigaikuang/202003/P020200324582920890909.xls</x:v>
      </x:c>
    </x:row>
    <x:row r="23" ht="34" customHeight="1">
      <x:c r="A23" s="15" t="n">
        <x:v>2020</x:v>
      </x:c>
      <x:c r="B23" s="15" t="str">
        <x:v>2020-2021</x:v>
      </x:c>
      <x:c r="C23" s="15" t="str">
        <x:v>北京市</x:v>
      </x:c>
      <x:c r="D23" s="17" t="n">
        <x:v>202157</x:v>
      </x:c>
      <x:c r="E23" s="17" t="n">
        <x:v>122123</x:v>
      </x:c>
      <x:c r="F23" s="17" t="n">
        <x:v>61071</x:v>
      </x:c>
      <x:c r="G23" s="15" t="str">
        <x:v>A</x:v>
      </x:c>
      <x:c r="H23" s="15" t="str">
        <x:v>https://jw.beijing.gov.cn/xxgk/shujufab/tongjigaikuang/202103/t20210325_2709330.html</x:v>
      </x:c>
      <x:c r="I23" s="15" t="str">
        <x:v>https://jw.beijing.gov.cn/xxgk/shujufab/tongjigaikuang/202103/P020210325366726237609.xls</x:v>
      </x:c>
      <x:c r="J23" s="15" t="str">
        <x:v>https://jw.beijing.gov.cn/xxgk/shujufab/tongjigaikuang/202103/P020210325366726188039.xls</x:v>
      </x:c>
    </x:row>
    <x:row r="24" ht="34" customHeight="1">
      <x:c r="A24" s="15" t="n">
        <x:v>2020</x:v>
      </x:c>
      <x:c r="B24" s="15" t="str">
        <x:v>2020-2021</x:v>
      </x:c>
      <x:c r="C24" s="15" t="str">
        <x:v>西城区</x:v>
      </x:c>
      <x:c r="D24" s="17" t="n">
        <x:v>21066</x:v>
      </x:c>
      <x:c r="E24" s="17" t="n">
        <x:v>12984</x:v>
      </x:c>
      <x:c r="F24" s="17" t="n">
        <x:v>7930</x:v>
      </x:c>
      <x:c r="G24" s="15" t="str">
        <x:v>A</x:v>
      </x:c>
      <x:c r="H24" s="15" t="str">
        <x:v>https://jw.beijing.gov.cn/xxgk/shujufab/tongjigaikuang/202103/t20210325_2709330.html</x:v>
      </x:c>
      <x:c r="I24" s="15" t="str">
        <x:v>https://jw.beijing.gov.cn/xxgk/shujufab/tongjigaikuang/202103/P020210325366726237609.xls</x:v>
      </x:c>
      <x:c r="J24" s="15" t="str">
        <x:v>https://jw.beijing.gov.cn/xxgk/shujufab/tongjigaikuang/202103/P020210325366726188039.xls</x:v>
      </x:c>
    </x:row>
    <x:row r="25" ht="34" customHeight="1">
      <x:c r="A25" s="15" t="n">
        <x:v>2020</x:v>
      </x:c>
      <x:c r="B25" s="15" t="str">
        <x:v>2020-2021</x:v>
      </x:c>
      <x:c r="C25" s="15" t="str">
        <x:v>朝阳区</x:v>
      </x:c>
      <x:c r="D25" s="17" t="n">
        <x:v>31426</x:v>
      </x:c>
      <x:c r="E25" s="17" t="n">
        <x:v>18224</x:v>
      </x:c>
      <x:c r="F25" s="17" t="n">
        <x:v>5513</x:v>
      </x:c>
      <x:c r="G25" s="15" t="str">
        <x:v>A</x:v>
      </x:c>
      <x:c r="H25" s="15" t="str">
        <x:v>https://jw.beijing.gov.cn/xxgk/shujufab/tongjigaikuang/202103/t20210325_2709330.html</x:v>
      </x:c>
      <x:c r="I25" s="15" t="str">
        <x:v>https://jw.beijing.gov.cn/xxgk/shujufab/tongjigaikuang/202103/P020210325366726237609.xls</x:v>
      </x:c>
      <x:c r="J25" s="15" t="str">
        <x:v>https://jw.beijing.gov.cn/xxgk/shujufab/tongjigaikuang/202103/P020210325366726188039.xls</x:v>
      </x:c>
    </x:row>
    <x:row r="26" ht="34" customHeight="1">
      <x:c r="A26" s="15" t="n">
        <x:v>2021</x:v>
      </x:c>
      <x:c r="B26" s="15" t="str">
        <x:v>2021-2022</x:v>
      </x:c>
      <x:c r="C26" s="15" t="str">
        <x:v>北京市</x:v>
      </x:c>
      <x:c r="D26" s="17" t="n">
        <x:v>186440</x:v>
      </x:c>
      <x:c r="E26" s="17" t="n">
        <x:v>120431</x:v>
      </x:c>
      <x:c r="F26" s="17" t="n">
        <x:v>62263</x:v>
      </x:c>
      <x:c r="G26" s="15" t="str">
        <x:v>A</x:v>
      </x:c>
      <x:c r="H26" s="15" t="str">
        <x:v>https://jw.beijing.gov.cn/xxgk/shujufab/tongjigaikuang/202203/t20220325_2709328.html</x:v>
      </x:c>
      <x:c r="I26" s="15" t="str">
        <x:v>https://jw.beijing.gov.cn/xxgk/shujufab/tongjigaikuang/202203/P020220325364029992205.xls</x:v>
      </x:c>
      <x:c r="J26" s="15" t="str">
        <x:v>https://jw.beijing.gov.cn/xxgk/shujufab/tongjigaikuang/202203/P020220622374586897514.xls</x:v>
      </x:c>
    </x:row>
    <x:row r="27" ht="34" customHeight="1">
      <x:c r="A27" s="15" t="n">
        <x:v>2021</x:v>
      </x:c>
      <x:c r="B27" s="15" t="str">
        <x:v>2021-2022</x:v>
      </x:c>
      <x:c r="C27" s="15" t="str">
        <x:v>西城区</x:v>
      </x:c>
      <x:c r="D27" s="17" t="n">
        <x:v>21357</x:v>
      </x:c>
      <x:c r="E27" s="17" t="n">
        <x:v>13595</x:v>
      </x:c>
      <x:c r="F27" s="17" t="n">
        <x:v>8074</x:v>
      </x:c>
      <x:c r="G27" s="15" t="str">
        <x:v>A</x:v>
      </x:c>
      <x:c r="H27" s="15" t="str">
        <x:v>https://jw.beijing.gov.cn/xxgk/shujufab/tongjigaikuang/202203/t20220325_2709328.html</x:v>
      </x:c>
      <x:c r="I27" s="15" t="str">
        <x:v>https://jw.beijing.gov.cn/xxgk/shujufab/tongjigaikuang/202203/P020220325364029992205.xls</x:v>
      </x:c>
      <x:c r="J27" s="15" t="str">
        <x:v>https://jw.beijing.gov.cn/xxgk/shujufab/tongjigaikuang/202203/P020220622374586897514.xls</x:v>
      </x:c>
    </x:row>
    <x:row r="28" ht="34" customHeight="1">
      <x:c r="A28" s="15" t="n">
        <x:v>2021</x:v>
      </x:c>
      <x:c r="B28" s="15" t="str">
        <x:v>2021-2022</x:v>
      </x:c>
      <x:c r="C28" s="15" t="str">
        <x:v>朝阳区</x:v>
      </x:c>
      <x:c r="D28" s="17" t="n">
        <x:v>28970</x:v>
      </x:c>
      <x:c r="E28" s="17" t="n">
        <x:v>17501</x:v>
      </x:c>
      <x:c r="F28" s="17" t="n">
        <x:v>5916</x:v>
      </x:c>
      <x:c r="G28" s="15" t="str">
        <x:v>A</x:v>
      </x:c>
      <x:c r="H28" s="15" t="str">
        <x:v>https://jw.beijing.gov.cn/xxgk/shujufab/tongjigaikuang/202203/t20220325_2709328.html</x:v>
      </x:c>
      <x:c r="I28" s="15" t="str">
        <x:v>https://jw.beijing.gov.cn/xxgk/shujufab/tongjigaikuang/202203/P020220325364029992205.xls</x:v>
      </x:c>
      <x:c r="J28" s="15" t="str">
        <x:v>https://jw.beijing.gov.cn/xxgk/shujufab/tongjigaikuang/202203/P020220622374586897514.xls</x:v>
      </x:c>
    </x:row>
    <x:row r="29" ht="34" customHeight="1">
      <x:c r="A29" s="15" t="n">
        <x:v>2022</x:v>
      </x:c>
      <x:c r="B29" s="15" t="str">
        <x:v>2022-2023</x:v>
      </x:c>
      <x:c r="C29" s="15" t="str">
        <x:v>北京市</x:v>
      </x:c>
      <x:c r="D29" s="17" t="n">
        <x:v>189935</x:v>
      </x:c>
      <x:c r="E29" s="17" t="n">
        <x:v>121270</x:v>
      </x:c>
      <x:c r="F29" s="17" t="n">
        <x:v>74681</x:v>
      </x:c>
      <x:c r="G29" s="15" t="str">
        <x:v>A</x:v>
      </x:c>
      <x:c r="H29" s="15" t="str">
        <x:v>https://jw.beijing.gov.cn/xxgk/shujufab/tongjigaikuang/202303/t20230317_2938666.html</x:v>
      </x:c>
      <x:c r="I29" s="15" t="str">
        <x:v>https://jw.beijing.gov.cn/xxgk/shujufab/tongjigaikuang/202303/P020230317333292762018.xls</x:v>
      </x:c>
      <x:c r="J29" s="15" t="str">
        <x:v>https://jw.beijing.gov.cn/xxgk/shujufab/tongjigaikuang/202303/P020230317333292483800.xls</x:v>
      </x:c>
    </x:row>
    <x:row r="30" ht="34" customHeight="1">
      <x:c r="A30" s="15" t="n">
        <x:v>2022</x:v>
      </x:c>
      <x:c r="B30" s="15" t="str">
        <x:v>2022-2023</x:v>
      </x:c>
      <x:c r="C30" s="15" t="str">
        <x:v>西城区</x:v>
      </x:c>
      <x:c r="D30" s="17" t="n">
        <x:v>20420</x:v>
      </x:c>
      <x:c r="E30" s="17" t="n">
        <x:v>14353</x:v>
      </x:c>
      <x:c r="F30" s="17" t="n">
        <x:v>10250</x:v>
      </x:c>
      <x:c r="G30" s="15" t="str">
        <x:v>A</x:v>
      </x:c>
      <x:c r="H30" s="15" t="str">
        <x:v>https://jw.beijing.gov.cn/xxgk/shujufab/tongjigaikuang/202303/t20230317_2938666.html</x:v>
      </x:c>
      <x:c r="I30" s="15" t="str">
        <x:v>https://jw.beijing.gov.cn/xxgk/shujufab/tongjigaikuang/202303/P020230317333292762018.xls</x:v>
      </x:c>
      <x:c r="J30" s="15" t="str">
        <x:v>https://jw.beijing.gov.cn/xxgk/shujufab/tongjigaikuang/202303/P020230317333292483800.xls</x:v>
      </x:c>
    </x:row>
    <x:row r="31" ht="34" customHeight="1">
      <x:c r="A31" s="15" t="n">
        <x:v>2022</x:v>
      </x:c>
      <x:c r="B31" s="15" t="str">
        <x:v>2022-2023</x:v>
      </x:c>
      <x:c r="C31" s="15" t="str">
        <x:v>朝阳区</x:v>
      </x:c>
      <x:c r="D31" s="17" t="n">
        <x:v>27675</x:v>
      </x:c>
      <x:c r="E31" s="17" t="n">
        <x:v>17662</x:v>
      </x:c>
      <x:c r="F31" s="17" t="n">
        <x:v>7910</x:v>
      </x:c>
      <x:c r="G31" s="15" t="str">
        <x:v>A</x:v>
      </x:c>
      <x:c r="H31" s="15" t="str">
        <x:v>https://jw.beijing.gov.cn/xxgk/shujufab/tongjigaikuang/202303/t20230317_2938666.html</x:v>
      </x:c>
      <x:c r="I31" s="15" t="str">
        <x:v>https://jw.beijing.gov.cn/xxgk/shujufab/tongjigaikuang/202303/P020230317333292762018.xls</x:v>
      </x:c>
      <x:c r="J31" s="15" t="str">
        <x:v>https://jw.beijing.gov.cn/xxgk/shujufab/tongjigaikuang/202303/P020230317333292483800.xls</x:v>
      </x:c>
    </x:row>
    <x:row r="32" ht="34" customHeight="1">
      <x:c r="A32" s="15" t="n">
        <x:v>2023</x:v>
      </x:c>
      <x:c r="B32" s="15" t="str">
        <x:v>2023-2024</x:v>
      </x:c>
      <x:c r="C32" s="15" t="str">
        <x:v>北京市</x:v>
      </x:c>
      <x:c r="D32" s="17" t="n">
        <x:v>235253</x:v>
      </x:c>
      <x:c r="E32" s="17" t="n">
        <x:v>134985</x:v>
      </x:c>
      <x:c r="F32" s="17" t="n">
        <x:v>79716</x:v>
      </x:c>
      <x:c r="G32" s="15" t="str">
        <x:v>A</x:v>
      </x:c>
      <x:c r="H32" s="15" t="str">
        <x:v>https://jw.beijing.gov.cn/xxgk/shujufab/tongjigaikuang/202403/t20240321_3596738.html</x:v>
      </x:c>
      <x:c r="I32" s="15" t="str">
        <x:v>https://jw.beijing.gov.cn/xxgk/shujufab/tongjigaikuang/202403/P020240322526988603047.xls</x:v>
      </x:c>
      <x:c r="J32" s="15" t="str">
        <x:v>https://jw.beijing.gov.cn/xxgk/shujufab/tongjigaikuang/202403/P020240322526988550924.xls</x:v>
      </x:c>
    </x:row>
    <x:row r="33" ht="34" customHeight="1">
      <x:c r="A33" s="15" t="n">
        <x:v>2023</x:v>
      </x:c>
      <x:c r="B33" s="15" t="str">
        <x:v>2023-2024</x:v>
      </x:c>
      <x:c r="C33" s="15" t="str">
        <x:v>西城区</x:v>
      </x:c>
      <x:c r="D33" s="17" t="n">
        <x:v>24400</x:v>
      </x:c>
      <x:c r="E33" s="17" t="n">
        <x:v>16018</x:v>
      </x:c>
      <x:c r="F33" s="17" t="n">
        <x:v>10438</x:v>
      </x:c>
      <x:c r="G33" s="15" t="str">
        <x:v>A</x:v>
      </x:c>
      <x:c r="H33" s="15" t="str">
        <x:v>https://jw.beijing.gov.cn/xxgk/shujufab/tongjigaikuang/202403/t20240321_3596738.html</x:v>
      </x:c>
      <x:c r="I33" s="15" t="str">
        <x:v>https://jw.beijing.gov.cn/xxgk/shujufab/tongjigaikuang/202403/P020240322526988603047.xls</x:v>
      </x:c>
      <x:c r="J33" s="15" t="str">
        <x:v>https://jw.beijing.gov.cn/xxgk/shujufab/tongjigaikuang/202403/P020240322526988550924.xls</x:v>
      </x:c>
    </x:row>
    <x:row r="34" ht="34" customHeight="1">
      <x:c r="A34" s="15" t="n">
        <x:v>2023</x:v>
      </x:c>
      <x:c r="B34" s="15" t="str">
        <x:v>2023-2024</x:v>
      </x:c>
      <x:c r="C34" s="15" t="str">
        <x:v>朝阳区</x:v>
      </x:c>
      <x:c r="D34" s="17" t="n">
        <x:v>33102</x:v>
      </x:c>
      <x:c r="E34" s="17" t="n">
        <x:v>19986</x:v>
      </x:c>
      <x:c r="F34" s="17" t="n">
        <x:v>9491</x:v>
      </x:c>
      <x:c r="G34" s="15" t="str">
        <x:v>A</x:v>
      </x:c>
      <x:c r="H34" s="15" t="str">
        <x:v>https://jw.beijing.gov.cn/xxgk/shujufab/tongjigaikuang/202403/t20240321_3596738.html</x:v>
      </x:c>
      <x:c r="I34" s="15" t="str">
        <x:v>https://jw.beijing.gov.cn/xxgk/shujufab/tongjigaikuang/202403/P020240322526988603047.xls</x:v>
      </x:c>
      <x:c r="J34" s="15" t="str">
        <x:v>https://jw.beijing.gov.cn/xxgk/shujufab/tongjigaikuang/202403/P020240322526988550924.xls</x:v>
      </x:c>
    </x:row>
    <x:row r="35" ht="34" customHeight="1">
      <x:c r="A35" s="15" t="n">
        <x:v>2024</x:v>
      </x:c>
      <x:c r="B35" s="15" t="str">
        <x:v>2024-2025</x:v>
      </x:c>
      <x:c r="C35" s="15" t="str">
        <x:v>北京市</x:v>
      </x:c>
      <x:c r="D35" s="17" t="n">
        <x:v>192706</x:v>
      </x:c>
      <x:c r="E35" s="17" t="n">
        <x:v>161338</x:v>
      </x:c>
      <x:c r="F35" s="17" t="n">
        <x:v>82137</x:v>
      </x:c>
      <x:c r="G35" s="15" t="str">
        <x:v>A</x:v>
      </x:c>
      <x:c r="H35" s="15" t="str">
        <x:v>https://jw.beijing.gov.cn/xxgk/shujufab/tongjigaikuang/202503/t20250324_4041836.html</x:v>
      </x:c>
      <x:c r="I35" s="15" t="str">
        <x:v>https://jw.beijing.gov.cn/xxgk/shujufab/tongjigaikuang/202503/P020250326745462401827.xls</x:v>
      </x:c>
      <x:c r="J35" s="15" t="str">
        <x:v>https://jw.beijing.gov.cn/xxgk/shujufab/tongjigaikuang/202503/P020250326745462325887.xls</x:v>
      </x:c>
    </x:row>
    <x:row r="36" ht="34" customHeight="1">
      <x:c r="A36" s="15" t="n">
        <x:v>2024</x:v>
      </x:c>
      <x:c r="B36" s="15" t="str">
        <x:v>2024-2025</x:v>
      </x:c>
      <x:c r="C36" s="15" t="str">
        <x:v>西城区</x:v>
      </x:c>
      <x:c r="D36" s="17" t="n">
        <x:v>19539</x:v>
      </x:c>
      <x:c r="E36" s="17" t="n">
        <x:v>19721</x:v>
      </x:c>
      <x:c r="F36" s="17" t="n">
        <x:v>10887</x:v>
      </x:c>
      <x:c r="G36" s="15" t="str">
        <x:v>A</x:v>
      </x:c>
      <x:c r="H36" s="15" t="str">
        <x:v>https://jw.beijing.gov.cn/xxgk/shujufab/tongjigaikuang/202503/t20250324_4041836.html</x:v>
      </x:c>
      <x:c r="I36" s="15" t="str">
        <x:v>https://jw.beijing.gov.cn/xxgk/shujufab/tongjigaikuang/202503/P020250326745462401827.xls</x:v>
      </x:c>
      <x:c r="J36" s="15" t="str">
        <x:v>https://jw.beijing.gov.cn/xxgk/shujufab/tongjigaikuang/202503/P020250326745462325887.xls</x:v>
      </x:c>
    </x:row>
    <x:row r="37" ht="34" customHeight="1">
      <x:c r="A37" s="15" t="n">
        <x:v>2024</x:v>
      </x:c>
      <x:c r="B37" s="15" t="str">
        <x:v>2024-2025</x:v>
      </x:c>
      <x:c r="C37" s="15" t="str">
        <x:v>朝阳区</x:v>
      </x:c>
      <x:c r="D37" s="17" t="n">
        <x:v>26492</x:v>
      </x:c>
      <x:c r="E37" s="17" t="n">
        <x:v>23767</x:v>
      </x:c>
      <x:c r="F37" s="17" t="n">
        <x:v>10026</x:v>
      </x:c>
      <x:c r="G37" s="15" t="str">
        <x:v>A</x:v>
      </x:c>
      <x:c r="H37" s="15" t="str">
        <x:v>https://jw.beijing.gov.cn/xxgk/shujufab/tongjigaikuang/202503/t20250324_4041836.html</x:v>
      </x:c>
      <x:c r="I37" s="15" t="str">
        <x:v>https://jw.beijing.gov.cn/xxgk/shujufab/tongjigaikuang/202503/P020250326745462401827.xls</x:v>
      </x:c>
      <x:c r="J37" s="15" t="str">
        <x:v>https://jw.beijing.gov.cn/xxgk/shujufab/tongjigaikuang/202503/P020250326745462325887.xls</x:v>
      </x:c>
    </x:row>
    <x:row r="38" ht="34" customHeight="1">
      <x:c r="A38" s="15" t="n">
        <x:v>2025</x:v>
      </x:c>
      <x:c r="B38" s="15" t="str">
        <x:v>2025-2026</x:v>
      </x:c>
      <x:c r="C38" s="15" t="str">
        <x:v>北京市</x:v>
      </x:c>
      <x:c r="D38" s="17" t="n">
        <x:v>183445</x:v>
      </x:c>
      <x:c r="E38" s="17" t="n">
        <x:v>162349</x:v>
      </x:c>
      <x:c r="F38" s="17" t="n">
        <x:v>84275</x:v>
      </x:c>
      <x:c r="G38" s="15" t="str">
        <x:v>A</x:v>
      </x:c>
      <x:c r="H38" s="15" t="str">
        <x:v>https://jw.beijing.gov.cn/xxgk/shujufab/tongjigaikuang/202604/t20260403_4573683.html</x:v>
      </x:c>
      <x:c r="I38" s="15" t="str">
        <x:v>https://jw.beijing.gov.cn/xxgk/shujufab/tongjigaikuang/202604/P020260403341275507005.xls</x:v>
      </x:c>
      <x:c r="J38" s="15" t="str">
        <x:v>https://jw.beijing.gov.cn/xxgk/shujufab/tongjigaikuang/202604/P020260403341275428383.xls</x:v>
      </x:c>
    </x:row>
    <x:row r="39" ht="34" customHeight="1">
      <x:c r="A39" s="15" t="n">
        <x:v>2025</x:v>
      </x:c>
      <x:c r="B39" s="15" t="str">
        <x:v>2025-2026</x:v>
      </x:c>
      <x:c r="C39" s="15" t="str">
        <x:v>西城区</x:v>
      </x:c>
      <x:c r="D39" s="17" t="n">
        <x:v>18435</x:v>
      </x:c>
      <x:c r="E39" s="17" t="n">
        <x:v>20106</x:v>
      </x:c>
      <x:c r="F39" s="17" t="n">
        <x:v>11626</x:v>
      </x:c>
      <x:c r="G39" s="15" t="str">
        <x:v>A</x:v>
      </x:c>
      <x:c r="H39" s="15" t="str">
        <x:v>https://jw.beijing.gov.cn/xxgk/shujufab/tongjigaikuang/202604/t20260403_4573683.html</x:v>
      </x:c>
      <x:c r="I39" s="15" t="str">
        <x:v>https://jw.beijing.gov.cn/xxgk/shujufab/tongjigaikuang/202604/P020260403341275507005.xls</x:v>
      </x:c>
      <x:c r="J39" s="15" t="str">
        <x:v>https://jw.beijing.gov.cn/xxgk/shujufab/tongjigaikuang/202604/P020260403341275428383.xls</x:v>
      </x:c>
    </x:row>
    <x:row r="40" ht="34" customHeight="1">
      <x:c r="A40" s="15" t="n">
        <x:v>2025</x:v>
      </x:c>
      <x:c r="B40" s="15" t="str">
        <x:v>2025-2026</x:v>
      </x:c>
      <x:c r="C40" s="15" t="str">
        <x:v>朝阳区</x:v>
      </x:c>
      <x:c r="D40" s="17" t="n">
        <x:v>25907</x:v>
      </x:c>
      <x:c r="E40" s="17" t="n">
        <x:v>24371</x:v>
      </x:c>
      <x:c r="F40" s="17" t="n">
        <x:v>10202</x:v>
      </x:c>
      <x:c r="G40" s="15" t="str">
        <x:v>A</x:v>
      </x:c>
      <x:c r="H40" s="15" t="str">
        <x:v>https://jw.beijing.gov.cn/xxgk/shujufab/tongjigaikuang/202604/t20260403_4573683.html</x:v>
      </x:c>
      <x:c r="I40" s="15" t="str">
        <x:v>https://jw.beijing.gov.cn/xxgk/shujufab/tongjigaikuang/202604/P020260403341275507005.xls</x:v>
      </x:c>
      <x:c r="J40" s="15" t="str">
        <x:v>https://jw.beijing.gov.cn/xxgk/shujufab/tongjigaikuang/202604/P020260403341275428383.xls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20" hidden="0" customWidth="1"/>
    <x:col min="7" max="7" width="9" hidden="0" customWidth="1"/>
    <x:col min="8" max="8" width="48" hidden="0" customWidth="1"/>
  </x:cols>
  <x:sheetData>
    <x:row r="1" ht="34" customHeight="1">
      <x:c r="A1" s="3" t="str">
        <x:v>高考人口：保留原始口径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注意：报名、实考、参加统一高考并非同一概念；约数不伪装为精确数。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1" t="str">
        <x:v>年份</x:v>
      </x:c>
      <x:c r="B4" s="11" t="str">
        <x:v>区域</x:v>
      </x:c>
      <x:c r="C4" s="11" t="str">
        <x:v>数值</x:v>
      </x:c>
      <x:c r="D4" s="11" t="str">
        <x:v>原文显示</x:v>
      </x:c>
      <x:c r="E4" s="11" t="str">
        <x:v>口径</x:v>
      </x:c>
      <x:c r="F4" s="11" t="str">
        <x:v>精度</x:v>
      </x:c>
      <x:c r="G4" s="11" t="str">
        <x:v>质量</x:v>
      </x:c>
      <x:c r="H4" s="11" t="str">
        <x:v>原始来源</x:v>
      </x:c>
    </x:row>
    <x:row r="5" ht="30" customHeight="1">
      <x:c r="A5" s="15" t="n">
        <x:v>2010</x:v>
      </x:c>
      <x:c r="B5" s="15" t="str">
        <x:v>北京市</x:v>
      </x:c>
      <x:c r="C5" s="17" t="n">
        <x:v>80241</x:v>
      </x:c>
      <x:c r="D5" s="15" t="str">
        <x:v>80,241</x:v>
      </x:c>
      <x:c r="E5" s="15" t="str">
        <x:v>报名总数</x:v>
      </x:c>
      <x:c r="F5" s="15" t="str">
        <x:v>exact</x:v>
      </x:c>
      <x:c r="G5" s="15" t="str">
        <x:v>B</x:v>
      </x:c>
      <x:c r="H5" s="15" t="str">
        <x:v>https://gaokao.chsi.com.cn/gkxx/ss/201008/20100804/113220108.html</x:v>
      </x:c>
    </x:row>
    <x:row r="6" ht="30" customHeight="1">
      <x:c r="A6" s="15" t="n">
        <x:v>2011</x:v>
      </x:c>
      <x:c r="B6" s="15" t="str">
        <x:v>北京市</x:v>
      </x:c>
      <x:c r="C6" s="17" t="n">
        <x:v>76007</x:v>
      </x:c>
      <x:c r="D6" s="15" t="str">
        <x:v>76,007</x:v>
      </x:c>
      <x:c r="E6" s="15" t="str">
        <x:v>报名总数</x:v>
      </x:c>
      <x:c r="F6" s="15" t="str">
        <x:v>exact</x:v>
      </x:c>
      <x:c r="G6" s="15" t="str">
        <x:v>B</x:v>
      </x:c>
      <x:c r="H6" s="15" t="str">
        <x:v>https://gaokao.eol.cn/bei_jing/dongtai/201106/t20110607_628513.shtml</x:v>
      </x:c>
    </x:row>
    <x:row r="7" ht="30" customHeight="1">
      <x:c r="A7" s="15" t="n">
        <x:v>2012</x:v>
      </x:c>
      <x:c r="B7" s="15" t="str">
        <x:v>北京市</x:v>
      </x:c>
      <x:c r="C7" s="17" t="n">
        <x:v>73460</x:v>
      </x:c>
      <x:c r="D7" s="15" t="str">
        <x:v>73,460</x:v>
      </x:c>
      <x:c r="E7" s="15" t="str">
        <x:v>报名总数</x:v>
      </x:c>
      <x:c r="F7" s="15" t="str">
        <x:v>exact</x:v>
      </x:c>
      <x:c r="G7" s="15" t="str">
        <x:v>A</x:v>
      </x:c>
      <x:c r="H7" s="15" t="str">
        <x:v>https://www.moe.gov.cn/jyb_xwfb/xw_zt/moe_357/s6211/s6511/s6522/201206/t20120605_137180.html</x:v>
      </x:c>
    </x:row>
    <x:row r="8" ht="30" customHeight="1">
      <x:c r="A8" s="15" t="n">
        <x:v>2013</x:v>
      </x:c>
      <x:c r="B8" s="15" t="str">
        <x:v>北京市</x:v>
      </x:c>
      <x:c r="C8" s="17" t="n">
        <x:v>72736</x:v>
      </x:c>
      <x:c r="D8" s="15" t="str">
        <x:v>72,736</x:v>
      </x:c>
      <x:c r="E8" s="15" t="str">
        <x:v>报名总数</x:v>
      </x:c>
      <x:c r="F8" s="15" t="str">
        <x:v>exact</x:v>
      </x:c>
      <x:c r="G8" s="15" t="str">
        <x:v>B</x:v>
      </x:c>
      <x:c r="H8" s="15" t="str">
        <x:v>https://gaokao.chsi.com.cn/gkxx/ss/201303/20130305/394077149.html</x:v>
      </x:c>
    </x:row>
    <x:row r="9" ht="30" customHeight="1">
      <x:c r="A9" s="15" t="n">
        <x:v>2014</x:v>
      </x:c>
      <x:c r="B9" s="15" t="str">
        <x:v>北京市</x:v>
      </x:c>
      <x:c r="C9" s="17" t="n">
        <x:v>70517</x:v>
      </x:c>
      <x:c r="D9" s="15" t="str">
        <x:v>70,517</x:v>
      </x:c>
      <x:c r="E9" s="15" t="str">
        <x:v>报名总数</x:v>
      </x:c>
      <x:c r="F9" s="15" t="str">
        <x:v>exact</x:v>
      </x:c>
      <x:c r="G9" s="15" t="str">
        <x:v>A</x:v>
      </x:c>
      <x:c r="H9" s="15" t="str">
        <x:v>https://www.moe.gov.cn/jyb_xwfb/s5147/201403/t20140324_166007.html</x:v>
      </x:c>
    </x:row>
    <x:row r="10" ht="30" customHeight="1">
      <x:c r="A10" s="15" t="n">
        <x:v>2015</x:v>
      </x:c>
      <x:c r="B10" s="15" t="str">
        <x:v>北京市</x:v>
      </x:c>
      <x:c r="C10" s="17" t="n">
        <x:v>67816</x:v>
      </x:c>
      <x:c r="D10" s="15" t="str">
        <x:v>67,816</x:v>
      </x:c>
      <x:c r="E10" s="15" t="str">
        <x:v>报名总数</x:v>
      </x:c>
      <x:c r="F10" s="15" t="str">
        <x:v>exact</x:v>
      </x:c>
      <x:c r="G10" s="15" t="str">
        <x:v>B</x:v>
      </x:c>
      <x:c r="H10" s="15" t="str">
        <x:v>https://www.moe.gov.cn/jyb_xwfb/s5147/201506/t20150612_190390.html</x:v>
      </x:c>
    </x:row>
    <x:row r="11" ht="30" customHeight="1">
      <x:c r="A11" s="15" t="n">
        <x:v>2016</x:v>
      </x:c>
      <x:c r="B11" s="15" t="str">
        <x:v>北京市</x:v>
      </x:c>
      <x:c r="C11" s="17" t="n">
        <x:v>61222</x:v>
      </x:c>
      <x:c r="D11" s="15" t="str">
        <x:v>61,222</x:v>
      </x:c>
      <x:c r="E11" s="15" t="str">
        <x:v>报名总数</x:v>
      </x:c>
      <x:c r="F11" s="15" t="str">
        <x:v>exact</x:v>
      </x:c>
      <x:c r="G11" s="15" t="str">
        <x:v>B</x:v>
      </x:c>
      <x:c r="H11" s="15" t="str">
        <x:v>https://gaokao.chsi.com.cn/z/gkbmfslq2016/bmrs.jsp</x:v>
      </x:c>
    </x:row>
    <x:row r="12" ht="30" customHeight="1">
      <x:c r="A12" s="15" t="n">
        <x:v>2017</x:v>
      </x:c>
      <x:c r="B12" s="15" t="str">
        <x:v>北京市</x:v>
      </x:c>
      <x:c r="C12" s="17" t="n">
        <x:v>60638</x:v>
      </x:c>
      <x:c r="D12" s="15" t="str">
        <x:v>60,638</x:v>
      </x:c>
      <x:c r="E12" s="15" t="str">
        <x:v>报名总数</x:v>
      </x:c>
      <x:c r="F12" s="15" t="str">
        <x:v>exact</x:v>
      </x:c>
      <x:c r="G12" s="15" t="str">
        <x:v>B</x:v>
      </x:c>
      <x:c r="H12" s="15" t="str">
        <x:v>https://www.edu.cn/edu/zhao_sheng_kao_shi/gao_kao/gzzc_xgdt/201703/t20170330_1502660.shtml</x:v>
      </x:c>
    </x:row>
    <x:row r="13" ht="30" customHeight="1">
      <x:c r="A13" s="15" t="n">
        <x:v>2018</x:v>
      </x:c>
      <x:c r="B13" s="15" t="str">
        <x:v>北京市</x:v>
      </x:c>
      <x:c r="C13" s="17" t="n">
        <x:v>63073</x:v>
      </x:c>
      <x:c r="D13" s="15" t="str">
        <x:v>63,073</x:v>
      </x:c>
      <x:c r="E13" s="15" t="str">
        <x:v>报名总数</x:v>
      </x:c>
      <x:c r="F13" s="15" t="str">
        <x:v>exact</x:v>
      </x:c>
      <x:c r="G13" s="15" t="str">
        <x:v>B</x:v>
      </x:c>
      <x:c r="H13" s="15" t="str">
        <x:v>https://edu.people.com.cn/n1/2018/0605/c1053-30037495.html</x:v>
      </x:c>
    </x:row>
    <x:row r="14" ht="30" customHeight="1">
      <x:c r="A14" s="15" t="n">
        <x:v>2019</x:v>
      </x:c>
      <x:c r="B14" s="15" t="str">
        <x:v>北京市</x:v>
      </x:c>
      <x:c r="C14" s="17" t="n">
        <x:v>59209</x:v>
      </x:c>
      <x:c r="D14" s="15" t="str">
        <x:v>59,209</x:v>
      </x:c>
      <x:c r="E14" s="15" t="str">
        <x:v>报名总数</x:v>
      </x:c>
      <x:c r="F14" s="15" t="str">
        <x:v>exact</x:v>
      </x:c>
      <x:c r="G14" s="15" t="str">
        <x:v>A</x:v>
      </x:c>
      <x:c r="H14" s="15" t="str">
        <x:v>https://www.beijing.gov.cn/zhengce/zcjd/201905/t20190523_79099.html</x:v>
      </x:c>
    </x:row>
    <x:row r="15" ht="30" customHeight="1">
      <x:c r="A15" s="15" t="n">
        <x:v>2020</x:v>
      </x:c>
      <x:c r="B15" s="15" t="str">
        <x:v>北京市</x:v>
      </x:c>
      <x:c r="C15" s="17" t="n">
        <x:v>49225</x:v>
      </x:c>
      <x:c r="D15" s="15" t="str">
        <x:v>49,225</x:v>
      </x:c>
      <x:c r="E15" s="15" t="str">
        <x:v>参加统一高考</x:v>
      </x:c>
      <x:c r="F15" s="15" t="str">
        <x:v>exact</x:v>
      </x:c>
      <x:c r="G15" s="15" t="str">
        <x:v>A</x:v>
      </x:c>
      <x:c r="H15" s="15" t="str">
        <x:v>https://www.moe.gov.cn/jyb_xwfb/s5147/202006/t20200630_469272.html</x:v>
      </x:c>
    </x:row>
    <x:row r="16" ht="30" customHeight="1">
      <x:c r="A16" s="15" t="n">
        <x:v>2021</x:v>
      </x:c>
      <x:c r="B16" s="15" t="str">
        <x:v>北京市</x:v>
      </x:c>
      <x:c r="C16" s="17" t="n">
        <x:v>51738</x:v>
      </x:c>
      <x:c r="D16" s="15" t="str">
        <x:v>51,738</x:v>
      </x:c>
      <x:c r="E16" s="15" t="str">
        <x:v>报名总数</x:v>
      </x:c>
      <x:c r="F16" s="15" t="str">
        <x:v>exact</x:v>
      </x:c>
      <x:c r="G16" s="15" t="str">
        <x:v>B</x:v>
      </x:c>
      <x:c r="H16" s="15" t="str">
        <x:v>https://www.chinanews.com.cn/gn/2021/06-07/9493867.shtml</x:v>
      </x:c>
    </x:row>
    <x:row r="17" ht="30" customHeight="1">
      <x:c r="A17" s="15" t="n">
        <x:v>2022</x:v>
      </x:c>
      <x:c r="B17" s="15" t="str">
        <x:v>北京市</x:v>
      </x:c>
      <x:c r="C17" s="17" t="n">
        <x:v>54000</x:v>
      </x:c>
      <x:c r="D17" s="15" t="str">
        <x:v>约54,000</x:v>
      </x:c>
      <x:c r="E17" s="15" t="str">
        <x:v>报名人数</x:v>
      </x:c>
      <x:c r="F17" s="15" t="str">
        <x:v>rounded</x:v>
      </x:c>
      <x:c r="G17" s="15" t="str">
        <x:v>A</x:v>
      </x:c>
      <x:c r="H17" s="15" t="str">
        <x:v>https://jw.beijing.gov.cn/zmhd/jyzbj/202205/t20220530_2723957.html</x:v>
      </x:c>
    </x:row>
    <x:row r="18" ht="30" customHeight="1">
      <x:c r="A18" s="15" t="n">
        <x:v>2023</x:v>
      </x:c>
      <x:c r="B18" s="15" t="str">
        <x:v>北京市</x:v>
      </x:c>
      <x:c r="C18" s="17" t="n">
        <x:v>58000</x:v>
      </x:c>
      <x:c r="D18" s="15" t="str">
        <x:v>58,000余</x:v>
      </x:c>
      <x:c r="E18" s="15" t="str">
        <x:v>参加高考</x:v>
      </x:c>
      <x:c r="F18" s="15" t="str">
        <x:v>lower_bound_rounded</x:v>
      </x:c>
      <x:c r="G18" s="15" t="str">
        <x:v>A</x:v>
      </x:c>
      <x:c r="H18" s="15" t="str">
        <x:v>https://www.beijing.gov.cn/fuwu/bmfw/sy/jrts/202306/t20230606_3122553.html</x:v>
      </x:c>
    </x:row>
    <x:row r="19" ht="30" customHeight="1">
      <x:c r="A19" s="15" t="n">
        <x:v>2024</x:v>
      </x:c>
      <x:c r="B19" s="15" t="str">
        <x:v>北京市</x:v>
      </x:c>
      <x:c r="C19" s="17" t="n">
        <x:v>67000</x:v>
      </x:c>
      <x:c r="D19" s="15" t="str">
        <x:v>约67,000</x:v>
      </x:c>
      <x:c r="E19" s="15" t="str">
        <x:v>报名人数</x:v>
      </x:c>
      <x:c r="F19" s="15" t="str">
        <x:v>rounded</x:v>
      </x:c>
      <x:c r="G19" s="15" t="str">
        <x:v>A</x:v>
      </x:c>
      <x:c r="H19" s="15" t="str">
        <x:v>https://www.beijing.gov.cn/gongkai/ldhd/202406/t20240604_3703580.html</x:v>
      </x:c>
    </x:row>
    <x:row r="20" ht="30" customHeight="1">
      <x:c r="A20" s="15" t="n">
        <x:v>2025</x:v>
      </x:c>
      <x:c r="B20" s="15" t="str">
        <x:v>北京市</x:v>
      </x:c>
      <x:c r="C20" s="17" t="n">
        <x:v>78900</x:v>
      </x:c>
      <x:c r="D20" s="15" t="str">
        <x:v>78,900</x:v>
      </x:c>
      <x:c r="E20" s="15" t="str">
        <x:v>报名人数</x:v>
      </x:c>
      <x:c r="F20" s="15" t="str">
        <x:v>exact</x:v>
      </x:c>
      <x:c r="G20" s="15" t="str">
        <x:v>A</x:v>
      </x:c>
      <x:c r="H20" s="15" t="str">
        <x:v>https://www.beijing.gov.cn/gongkai/ldhd/202506/t20250607_4108375.html</x:v>
      </x:c>
    </x:row>
    <x:row r="21" ht="30" customHeight="1">
      <x:c r="A21" s="15" t="n">
        <x:v>2026</x:v>
      </x:c>
      <x:c r="B21" s="15" t="str">
        <x:v>北京市</x:v>
      </x:c>
      <x:c r="C21" s="17" t="n">
        <x:v>84900</x:v>
      </x:c>
      <x:c r="D21" s="15" t="str">
        <x:v>84,900</x:v>
      </x:c>
      <x:c r="E21" s="15" t="str">
        <x:v>报名人数</x:v>
      </x:c>
      <x:c r="F21" s="15" t="str">
        <x:v>exact</x:v>
      </x:c>
      <x:c r="G21" s="15" t="str">
        <x:v>A</x:v>
      </x:c>
      <x:c r="H21" s="15" t="str">
        <x:v>https://www.beijing.gov.cn/fuwu/bmfw/sy/jrts/202606/t20260607_4689597.html</x:v>
      </x:c>
    </x:row>
    <x:row r="22" ht="30" customHeight="1">
      <x:c r="A22" s="15" t="n">
        <x:v>2020</x:v>
      </x:c>
      <x:c r="B22" s="15" t="str">
        <x:v>西城区</x:v>
      </x:c>
      <x:c r="C22" s="17" t="n">
        <x:v>6413</x:v>
      </x:c>
      <x:c r="D22" s="15" t="str">
        <x:v>6,413</x:v>
      </x:c>
      <x:c r="E22" s="15" t="str">
        <x:v>参加高考</x:v>
      </x:c>
      <x:c r="F22" s="15" t="str">
        <x:v>exact</x:v>
      </x:c>
      <x:c r="G22" s="15" t="str">
        <x:v>A</x:v>
      </x:c>
      <x:c r="H22" s="15" t="str">
        <x:v>https://www.bjxch.gov.cn/xcdt/xxxq/pnidpv862512.html</x:v>
      </x:c>
    </x:row>
    <x:row r="23" ht="30" customHeight="1">
      <x:c r="A23" s="15" t="n">
        <x:v>2024</x:v>
      </x:c>
      <x:c r="B23" s="15" t="str">
        <x:v>西城区</x:v>
      </x:c>
      <x:c r="C23" s="17" t="n">
        <x:v>7500</x:v>
      </x:c>
      <x:c r="D23" s="15" t="str">
        <x:v>7,500余</x:v>
      </x:c>
      <x:c r="E23" s="15" t="str">
        <x:v>高考考生</x:v>
      </x:c>
      <x:c r="F23" s="15" t="str">
        <x:v>lower_bound_rounded</x:v>
      </x:c>
      <x:c r="G23" s="15" t="str">
        <x:v>A</x:v>
      </x:c>
      <x:c r="H23" s="15" t="str">
        <x:v>https://www.bjxch.gov.cn/xcdt/xxxq/pnidpv954186.html</x:v>
      </x:c>
    </x:row>
    <x:row r="24" ht="30" customHeight="1">
      <x:c r="A24" s="15" t="n">
        <x:v>2025</x:v>
      </x:c>
      <x:c r="B24" s="15" t="str">
        <x:v>西城区</x:v>
      </x:c>
      <x:c r="C24" s="17" t="n">
        <x:v>9000</x:v>
      </x:c>
      <x:c r="D24" s="15" t="str">
        <x:v>9,000余</x:v>
      </x:c>
      <x:c r="E24" s="15" t="str">
        <x:v>报名人数</x:v>
      </x:c>
      <x:c r="F24" s="15" t="str">
        <x:v>lower_bound_rounded</x:v>
      </x:c>
      <x:c r="G24" s="15" t="str">
        <x:v>A</x:v>
      </x:c>
      <x:c r="H24" s="15" t="str">
        <x:v>https://www.bjxch.gov.cn/xcdt/xxxq/pnidpv979601.html</x:v>
      </x:c>
    </x:row>
    <x:row r="25" ht="30" customHeight="1">
      <x:c r="A25" s="15" t="n">
        <x:v>2018</x:v>
      </x:c>
      <x:c r="B25" s="15" t="str">
        <x:v>朝阳区</x:v>
      </x:c>
      <x:c r="C25" s="17" t="n">
        <x:v>4000</x:v>
      </x:c>
      <x:c r="D25" s="15" t="str">
        <x:v>4,000余</x:v>
      </x:c>
      <x:c r="E25" s="15" t="str">
        <x:v>参加考试</x:v>
      </x:c>
      <x:c r="F25" s="15" t="str">
        <x:v>lower_bound_rounded</x:v>
      </x:c>
      <x:c r="G25" s="15" t="str">
        <x:v>A</x:v>
      </x:c>
      <x:c r="H25" s="15" t="str">
        <x:v>https://chyrd.bjchy.gov.cn/yfly/ff80808163d349de0163d7c6ad470001.html</x:v>
      </x:c>
    </x:row>
    <x:row r="26" ht="30" customHeight="1">
      <x:c r="A26" s="15" t="n">
        <x:v>2022</x:v>
      </x:c>
      <x:c r="B26" s="15" t="str">
        <x:v>朝阳区</x:v>
      </x:c>
      <x:c r="C26" s="17" t="n">
        <x:v>4900</x:v>
      </x:c>
      <x:c r="D26" s="15" t="str">
        <x:v>4,900余</x:v>
      </x:c>
      <x:c r="E26" s="15" t="str">
        <x:v>参加考试</x:v>
      </x:c>
      <x:c r="F26" s="15" t="str">
        <x:v>lower_bound_rounded</x:v>
      </x:c>
      <x:c r="G26" s="15" t="str">
        <x:v>A</x:v>
      </x:c>
      <x:c r="H26" s="15" t="str">
        <x:v>https://chyrd.bjchy.gov.cn/yfly/8a24f0b481228d3c01816000ab0a00f0.html</x:v>
      </x:c>
    </x:row>
    <x:row r="27" ht="30" customHeight="1">
      <x:c r="A27" s="15" t="n">
        <x:v>2024</x:v>
      </x:c>
      <x:c r="B27" s="15" t="str">
        <x:v>朝阳区</x:v>
      </x:c>
      <x:c r="C27" s="17" t="n">
        <x:v>6600</x:v>
      </x:c>
      <x:c r="D27" s="15" t="str">
        <x:v>6,600余</x:v>
      </x:c>
      <x:c r="E27" s="15" t="str">
        <x:v>参加高考（媒体参考）</x:v>
      </x:c>
      <x:c r="F27" s="15" t="str">
        <x:v>lower_bound_rounded</x:v>
      </x:c>
      <x:c r="G27" s="15" t="str">
        <x:v>B</x:v>
      </x:c>
      <x:c r="H27" s="15" t="str">
        <x:v>https://m.bjnews.com.cn/detail/1717715397129382.html</x:v>
      </x:c>
    </x:row>
    <x:row r="28" ht="30" customHeight="1">
      <x:c r="A28" s="15" t="n">
        <x:v>2025</x:v>
      </x:c>
      <x:c r="B28" s="15" t="str">
        <x:v>朝阳区</x:v>
      </x:c>
      <x:c r="C28" s="17" t="n">
        <x:v>8500</x:v>
      </x:c>
      <x:c r="D28" s="15" t="str">
        <x:v>8,500余</x:v>
      </x:c>
      <x:c r="E28" s="15" t="str">
        <x:v>参加高考（媒体参考）</x:v>
      </x:c>
      <x:c r="F28" s="15" t="str">
        <x:v>lower_bound_rounded</x:v>
      </x:c>
      <x:c r="G28" s="15" t="str">
        <x:v>B</x:v>
      </x:c>
      <x:c r="H28" s="15" t="str">
        <x:v>https://m.bjnews.com.cn/detail/1749261446168620.html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9" hidden="0" customWidth="1"/>
    <x:col min="5" max="5" width="52" hidden="0" customWidth="1"/>
  </x:cols>
  <x:sheetData>
    <x:row r="1" ht="34" customHeight="1">
      <x:c r="A1" s="3" t="str">
        <x:v>可核实的本科实际录取人数</x:v>
      </x:c>
      <x:c r="B1" s="3"/>
      <x:c r="C1" s="3"/>
      <x:c r="D1" s="3"/>
      <x:c r="E1" s="3"/>
    </x:row>
    <x:row r="2" ht="28" customHeight="1">
      <x:c r="A2" s="7" t="str">
        <x:v>历史公开并不连续。2018年及2020年以后未找到稳定、可核实的公开总数。</x:v>
      </x:c>
      <x:c r="B2" s="7"/>
      <x:c r="C2" s="7"/>
      <x:c r="D2" s="7"/>
      <x:c r="E2" s="7"/>
    </x:row>
    <x:row r="4" ht="24" customHeight="1">
      <x:c r="A4" s="11" t="str">
        <x:v>年份</x:v>
      </x:c>
      <x:c r="B4" s="11" t="str">
        <x:v>区域</x:v>
      </x:c>
      <x:c r="C4" s="11" t="str">
        <x:v>本科实际录取</x:v>
      </x:c>
      <x:c r="D4" s="11" t="str">
        <x:v>质量</x:v>
      </x:c>
      <x:c r="E4" s="11" t="str">
        <x:v>来源</x:v>
      </x:c>
    </x:row>
    <x:row r="5" ht="28" customHeight="1">
      <x:c r="A5" s="15" t="n">
        <x:v>2010</x:v>
      </x:c>
      <x:c r="B5" s="15" t="str">
        <x:v>北京市</x:v>
      </x:c>
      <x:c r="C5" s="17" t="n">
        <x:v>40637</x:v>
      </x:c>
      <x:c r="D5" s="15" t="str">
        <x:v>B</x:v>
      </x:c>
      <x:c r="E5" s="15" t="str">
        <x:v>https://gaokao.chsi.com.cn/gkxx/ss/201008/20100804/113220108.html</x:v>
      </x:c>
    </x:row>
    <x:row r="6" ht="28" customHeight="1">
      <x:c r="A6" s="15" t="n">
        <x:v>2011</x:v>
      </x:c>
      <x:c r="B6" s="15" t="str">
        <x:v>北京市</x:v>
      </x:c>
      <x:c r="C6" s="17" t="n">
        <x:v>43812</x:v>
      </x:c>
      <x:c r="D6" s="15" t="str">
        <x:v>B</x:v>
      </x:c>
      <x:c r="E6" s="15" t="str">
        <x:v>https://gaokao.chsi.com.cn/gkxx/ss/201111/20111129/264626239.html</x:v>
      </x:c>
    </x:row>
    <x:row r="7" ht="28" customHeight="1">
      <x:c r="A7" s="15" t="n">
        <x:v>2012</x:v>
      </x:c>
      <x:c r="B7" s="15" t="str">
        <x:v>北京市</x:v>
      </x:c>
      <x:c r="C7" s="17" t="n">
        <x:v>37570</x:v>
      </x:c>
      <x:c r="D7" s="15" t="str">
        <x:v>B</x:v>
      </x:c>
      <x:c r="E7" s="15" t="str">
        <x:v>https://gaokao.eol.cn/bei_jing/dongtai/201207/t20120731_819395.shtml</x:v>
      </x:c>
    </x:row>
    <x:row r="8" ht="28" customHeight="1">
      <x:c r="A8" s="15" t="n">
        <x:v>2013</x:v>
      </x:c>
      <x:c r="B8" s="15" t="str">
        <x:v>北京市</x:v>
      </x:c>
      <x:c r="C8" s="17" t="n">
        <x:v>37169</x:v>
      </x:c>
      <x:c r="D8" s="15" t="str">
        <x:v>B</x:v>
      </x:c>
      <x:c r="E8" s="15" t="str">
        <x:v>https://edu.sina.com.cn/gaokao/2013-08-01/1125390979.shtml</x:v>
      </x:c>
    </x:row>
    <x:row r="9" ht="28" customHeight="1">
      <x:c r="A9" s="15" t="n">
        <x:v>2014</x:v>
      </x:c>
      <x:c r="B9" s="15" t="str">
        <x:v>北京市</x:v>
      </x:c>
      <x:c r="C9" s="17" t="n">
        <x:v>42946</x:v>
      </x:c>
      <x:c r="D9" s="15" t="str">
        <x:v>B</x:v>
      </x:c>
      <x:c r="E9" s="15" t="str">
        <x:v>https://gaokao.eol.cn/bei_jing/dongtai/201408/t20140812_1162810.shtml</x:v>
      </x:c>
    </x:row>
    <x:row r="10" ht="28" customHeight="1">
      <x:c r="A10" s="15" t="n">
        <x:v>2015</x:v>
      </x:c>
      <x:c r="B10" s="15" t="str">
        <x:v>北京市</x:v>
      </x:c>
      <x:c r="C10" s="17" t="n">
        <x:v>44123</x:v>
      </x:c>
      <x:c r="D10" s="15" t="str">
        <x:v>C</x:v>
      </x:c>
      <x:c r="E10" s="15" t="str">
        <x:v>https://gaokao.eol.cn/bei_jing/dongtai/201803/t20180330_1592915.shtml</x:v>
      </x:c>
    </x:row>
    <x:row r="11" ht="28" customHeight="1">
      <x:c r="A11" s="15" t="n">
        <x:v>2016</x:v>
      </x:c>
      <x:c r="B11" s="15" t="str">
        <x:v>北京市</x:v>
      </x:c>
      <x:c r="C11" s="17" t="n">
        <x:v>40841</x:v>
      </x:c>
      <x:c r="D11" s="15" t="str">
        <x:v>C</x:v>
      </x:c>
      <x:c r="E11" s="15" t="str">
        <x:v>https://gaokao.eol.cn/bei_jing/dongtai/201803/t20180330_1592915.shtml</x:v>
      </x:c>
    </x:row>
    <x:row r="12" ht="28" customHeight="1">
      <x:c r="A12" s="15" t="n">
        <x:v>2017</x:v>
      </x:c>
      <x:c r="B12" s="15" t="str">
        <x:v>北京市</x:v>
      </x:c>
      <x:c r="C12" s="17" t="n">
        <x:v>40550</x:v>
      </x:c>
      <x:c r="D12" s="15" t="str">
        <x:v>C</x:v>
      </x:c>
      <x:c r="E12" s="15" t="str">
        <x:v>https://gaokao.eol.cn/bei_jing/dongtai/201803/t20180330_1592915.shtml</x:v>
      </x:c>
    </x:row>
    <x:row r="13" ht="28" customHeight="1">
      <x:c r="A13" s="15" t="n">
        <x:v>2019</x:v>
      </x:c>
      <x:c r="B13" s="15" t="str">
        <x:v>北京市</x:v>
      </x:c>
      <x:c r="C13" s="17" t="n">
        <x:v>41076</x:v>
      </x:c>
      <x:c r="D13" s="15" t="str">
        <x:v>C</x:v>
      </x:c>
      <x:c r="E13" s="15" t="str">
        <x:v>https://www.gaokzx.com/c/201907/37347.html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1" hidden="0" customWidth="1"/>
    <x:col min="5" max="5" width="9" hidden="0" customWidth="1"/>
    <x:col min="6" max="6" width="52" hidden="0" customWidth="1"/>
  </x:cols>
  <x:sheetData>
    <x:row r="1" ht="34" customHeight="1">
      <x:c r="A1" s="3" t="str">
        <x:v>普通本科控制线及以上人数</x:v>
      </x:c>
      <x:c r="B1" s="3"/>
      <x:c r="C1" s="3"/>
      <x:c r="D1" s="3"/>
      <x:c r="E1" s="3"/>
      <x:c r="F1" s="3"/>
    </x:row>
    <x:row r="2" ht="28" customHeight="1">
      <x:c r="A2" s="7" t="str">
        <x:v>来自北京教育考试院一分一段表；上线人数不等于实际录取人数。</x:v>
      </x:c>
      <x:c r="B2" s="7"/>
      <x:c r="C2" s="7"/>
      <x:c r="D2" s="7"/>
      <x:c r="E2" s="7"/>
      <x:c r="F2" s="7"/>
    </x:row>
    <x:row r="4" ht="24" customHeight="1">
      <x:c r="A4" s="11" t="str">
        <x:v>年份</x:v>
      </x:c>
      <x:c r="B4" s="11" t="str">
        <x:v>区域</x:v>
      </x:c>
      <x:c r="C4" s="11" t="str">
        <x:v>控制线</x:v>
      </x:c>
      <x:c r="D4" s="11" t="str">
        <x:v>控制线及以上人数</x:v>
      </x:c>
      <x:c r="E4" s="11" t="str">
        <x:v>质量</x:v>
      </x:c>
      <x:c r="F4" s="11" t="str">
        <x:v>来源</x:v>
      </x:c>
    </x:row>
    <x:row r="5" ht="28" customHeight="1">
      <x:c r="A5" s="15" t="n">
        <x:v>2020</x:v>
      </x:c>
      <x:c r="B5" s="15" t="str">
        <x:v>北京市</x:v>
      </x:c>
      <x:c r="C5" s="17" t="n">
        <x:v>436</x:v>
      </x:c>
      <x:c r="D5" s="17" t="n">
        <x:v>37397</x:v>
      </x:c>
      <x:c r="E5" s="15" t="str">
        <x:v>A</x:v>
      </x:c>
      <x:c r="F5" s="15" t="str">
        <x:v>https://www.bjeea.cn/html/gkgz/fujian/2020/0725/76223.html</x:v>
      </x:c>
    </x:row>
    <x:row r="6" ht="28" customHeight="1">
      <x:c r="A6" s="15" t="n">
        <x:v>2021</x:v>
      </x:c>
      <x:c r="B6" s="15" t="str">
        <x:v>北京市</x:v>
      </x:c>
      <x:c r="C6" s="17" t="n">
        <x:v>400</x:v>
      </x:c>
      <x:c r="D6" s="17" t="n">
        <x:v>36736</x:v>
      </x:c>
      <x:c r="E6" s="15" t="str">
        <x:v>A</x:v>
      </x:c>
      <x:c r="F6" s="15" t="str">
        <x:v>https://www.bjeea.cn/html/gkgz/fujian/2021/0625/79201.html</x:v>
      </x:c>
    </x:row>
    <x:row r="7" ht="28" customHeight="1">
      <x:c r="A7" s="15" t="n">
        <x:v>2022</x:v>
      </x:c>
      <x:c r="B7" s="15" t="str">
        <x:v>北京市</x:v>
      </x:c>
      <x:c r="C7" s="17" t="n">
        <x:v>425</x:v>
      </x:c>
      <x:c r="D7" s="17" t="n">
        <x:v>37319</x:v>
      </x:c>
      <x:c r="E7" s="15" t="str">
        <x:v>A</x:v>
      </x:c>
      <x:c r="F7" s="15" t="str">
        <x:v>https://www.bjeea.cn/html/gkgz/fujian/2022/0625/82074.html</x:v>
      </x:c>
    </x:row>
    <x:row r="8" ht="28" customHeight="1">
      <x:c r="A8" s="15" t="n">
        <x:v>2023</x:v>
      </x:c>
      <x:c r="B8" s="15" t="str">
        <x:v>北京市</x:v>
      </x:c>
      <x:c r="C8" s="17" t="n">
        <x:v>448</x:v>
      </x:c>
      <x:c r="D8" s="17" t="n">
        <x:v>42347</x:v>
      </x:c>
      <x:c r="E8" s="15" t="str">
        <x:v>A</x:v>
      </x:c>
      <x:c r="F8" s="15" t="str">
        <x:v>https://www.bjeea.cn/html/gkgz/fujian/2023/0625/83922.html</x:v>
      </x:c>
    </x:row>
    <x:row r="9" ht="28" customHeight="1">
      <x:c r="A9" s="15" t="n">
        <x:v>2024</x:v>
      </x:c>
      <x:c r="B9" s="15" t="str">
        <x:v>北京市</x:v>
      </x:c>
      <x:c r="C9" s="17" t="n">
        <x:v>434</x:v>
      </x:c>
      <x:c r="D9" s="17" t="n">
        <x:v>44923</x:v>
      </x:c>
      <x:c r="E9" s="15" t="str">
        <x:v>A</x:v>
      </x:c>
      <x:c r="F9" s="15" t="str">
        <x:v>https://www.bjeea.cn/html/gkgz/fujian/2024/0625/85432.html</x:v>
      </x:c>
    </x:row>
    <x:row r="10" ht="28" customHeight="1">
      <x:c r="A10" s="15" t="n">
        <x:v>2025</x:v>
      </x:c>
      <x:c r="B10" s="15" t="str">
        <x:v>北京市</x:v>
      </x:c>
      <x:c r="C10" s="17" t="n">
        <x:v>430</x:v>
      </x:c>
      <x:c r="D10" s="17" t="n">
        <x:v>53994</x:v>
      </x:c>
      <x:c r="E10" s="15" t="str">
        <x:v>A</x:v>
      </x:c>
      <x:c r="F10" s="15" t="str">
        <x:v>https://www.bjeea.cn/uploads/soft/250625/172-2506250Q456.pdf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8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</x:cols>
  <x:sheetData>
    <x:row r="1" ht="34" customHeight="1">
      <x:c r="A1" s="3" t="str">
        <x:v>招生数 vs 对应一年级在校生</x:v>
      </x:c>
      <x:c r="B1" s="3"/>
      <x:c r="C1" s="3"/>
      <x:c r="D1" s="3"/>
      <x:c r="E1" s="3"/>
      <x:c r="F1" s="3"/>
      <x:c r="G1" s="3"/>
    </x:row>
    <x:row r="2" ht="28" customHeight="1">
      <x:c r="A2" s="7" t="str">
        <x:v>两项来自同一官方工作簿；差值反映统计时点、学籍状态等，不应强制归零。</x:v>
      </x:c>
      <x:c r="B2" s="7"/>
      <x:c r="C2" s="7"/>
      <x:c r="D2" s="7"/>
      <x:c r="E2" s="7"/>
      <x:c r="F2" s="7"/>
      <x:c r="G2" s="7"/>
    </x:row>
    <x:row r="4" ht="24" customHeight="1">
      <x:c r="A4" s="11" t="str">
        <x:v>年份</x:v>
      </x:c>
      <x:c r="B4" s="11" t="str">
        <x:v>区域</x:v>
      </x:c>
      <x:c r="C4" s="11" t="str">
        <x:v>核验项</x:v>
      </x:c>
      <x:c r="D4" s="11" t="str">
        <x:v>招生数</x:v>
      </x:c>
      <x:c r="E4" s="11" t="str">
        <x:v>一年级在校生</x:v>
      </x:c>
      <x:c r="F4" s="11" t="str">
        <x:v>差值</x:v>
      </x:c>
      <x:c r="G4" s="11" t="str">
        <x:v>相对差</x:v>
      </x:c>
    </x:row>
    <x:row r="5" ht="25" customHeight="1">
      <x:c r="A5" s="15" t="n">
        <x:v>2014</x:v>
      </x:c>
      <x:c r="B5" s="15" t="str">
        <x:v>北京市</x:v>
      </x:c>
      <x:c r="C5" s="15" t="str">
        <x:v>小学招生数 vs 小学一年级在校生</x:v>
      </x:c>
      <x:c r="D5" s="17" t="n">
        <x:v>153249</x:v>
      </x:c>
      <x:c r="E5" s="17" t="n">
        <x:v>153400</x:v>
      </x:c>
      <x:c r="F5" s="17" t="n">
        <x:v>-151</x:v>
      </x:c>
      <x:c r="G5" s="18" t="n">
        <x:f>ABS(F5)/D5</x:f>
        <x:v>0.0009853245371911072</x:v>
      </x:c>
    </x:row>
    <x:row r="6" ht="25" customHeight="1">
      <x:c r="A6" s="15" t="n">
        <x:v>2014</x:v>
      </x:c>
      <x:c r="B6" s="15" t="str">
        <x:v>北京市</x:v>
      </x:c>
      <x:c r="C6" s="15" t="str">
        <x:v>初中招生数 vs 初中一年级在校生</x:v>
      </x:c>
      <x:c r="D6" s="17" t="n">
        <x:v>102693</x:v>
      </x:c>
      <x:c r="E6" s="17" t="n">
        <x:v>102827</x:v>
      </x:c>
      <x:c r="F6" s="17" t="n">
        <x:v>-134</x:v>
      </x:c>
      <x:c r="G6" s="18" t="n">
        <x:f>ABS(F6)/D6</x:f>
        <x:v>0.0013048601170479002</x:v>
      </x:c>
    </x:row>
    <x:row r="7" ht="25" customHeight="1">
      <x:c r="A7" s="15" t="n">
        <x:v>2014</x:v>
      </x:c>
      <x:c r="B7" s="15" t="str">
        <x:v>北京市</x:v>
      </x:c>
      <x:c r="C7" s="15" t="str">
        <x:v>高中招生数 vs 高中一年级在校生</x:v>
      </x:c>
      <x:c r="D7" s="17" t="n">
        <x:v>55184</x:v>
      </x:c>
      <x:c r="E7" s="17" t="n">
        <x:v>55428</x:v>
      </x:c>
      <x:c r="F7" s="17" t="n">
        <x:v>-244</x:v>
      </x:c>
      <x:c r="G7" s="18" t="n">
        <x:f>ABS(F7)/D7</x:f>
        <x:v>0.004421571469991302</x:v>
      </x:c>
    </x:row>
    <x:row r="8" ht="25" customHeight="1">
      <x:c r="A8" s="15" t="n">
        <x:v>2014</x:v>
      </x:c>
      <x:c r="B8" s="15" t="str">
        <x:v>西城区</x:v>
      </x:c>
      <x:c r="C8" s="15" t="str">
        <x:v>小学招生数 vs 小学一年级在校生</x:v>
      </x:c>
      <x:c r="D8" s="17" t="n">
        <x:v>12488</x:v>
      </x:c>
      <x:c r="E8" s="17" t="n">
        <x:v>12489</x:v>
      </x:c>
      <x:c r="F8" s="17" t="n">
        <x:v>-1</x:v>
      </x:c>
      <x:c r="G8" s="18" t="n">
        <x:f>ABS(F8)/D8</x:f>
        <x:v>0.00008007687379884689</x:v>
      </x:c>
    </x:row>
    <x:row r="9" ht="25" customHeight="1">
      <x:c r="A9" s="15" t="n">
        <x:v>2014</x:v>
      </x:c>
      <x:c r="B9" s="15" t="str">
        <x:v>西城区</x:v>
      </x:c>
      <x:c r="C9" s="15" t="str">
        <x:v>初中招生数 vs 初中一年级在校生</x:v>
      </x:c>
      <x:c r="D9" s="17" t="n">
        <x:v>8684</x:v>
      </x:c>
      <x:c r="E9" s="17" t="n">
        <x:v>8690</x:v>
      </x:c>
      <x:c r="F9" s="17" t="n">
        <x:v>-6</x:v>
      </x:c>
      <x:c r="G9" s="18" t="n">
        <x:f>ABS(F9)/D9</x:f>
        <x:v>0.0006909258406264394</x:v>
      </x:c>
    </x:row>
    <x:row r="10" ht="25" customHeight="1">
      <x:c r="A10" s="15" t="n">
        <x:v>2014</x:v>
      </x:c>
      <x:c r="B10" s="15" t="str">
        <x:v>西城区</x:v>
      </x:c>
      <x:c r="C10" s="15" t="str">
        <x:v>高中招生数 vs 高中一年级在校生</x:v>
      </x:c>
      <x:c r="D10" s="17" t="n">
        <x:v>7022</x:v>
      </x:c>
      <x:c r="E10" s="17" t="n">
        <x:v>7042</x:v>
      </x:c>
      <x:c r="F10" s="17" t="n">
        <x:v>-20</x:v>
      </x:c>
      <x:c r="G10" s="18" t="n">
        <x:f>ABS(F10)/D10</x:f>
        <x:v>0.0028481913984619764</x:v>
      </x:c>
    </x:row>
    <x:row r="11" ht="25" customHeight="1">
      <x:c r="A11" s="15" t="n">
        <x:v>2014</x:v>
      </x:c>
      <x:c r="B11" s="15" t="str">
        <x:v>朝阳区</x:v>
      </x:c>
      <x:c r="C11" s="15" t="str">
        <x:v>小学招生数 vs 小学一年级在校生</x:v>
      </x:c>
      <x:c r="D11" s="17" t="n">
        <x:v>25745</x:v>
      </x:c>
      <x:c r="E11" s="17" t="n">
        <x:v>25745</x:v>
      </x:c>
      <x:c r="F11" s="17" t="n">
        <x:v>0</x:v>
      </x:c>
      <x:c r="G11" s="18" t="n">
        <x:f>ABS(F11)/D11</x:f>
        <x:v>0</x:v>
      </x:c>
    </x:row>
    <x:row r="12" ht="25" customHeight="1">
      <x:c r="A12" s="15" t="n">
        <x:v>2014</x:v>
      </x:c>
      <x:c r="B12" s="15" t="str">
        <x:v>朝阳区</x:v>
      </x:c>
      <x:c r="C12" s="15" t="str">
        <x:v>初中招生数 vs 初中一年级在校生</x:v>
      </x:c>
      <x:c r="D12" s="17" t="n">
        <x:v>13898</x:v>
      </x:c>
      <x:c r="E12" s="17" t="n">
        <x:v>13958</x:v>
      </x:c>
      <x:c r="F12" s="17" t="n">
        <x:v>-60</x:v>
      </x:c>
      <x:c r="G12" s="18" t="n">
        <x:f>ABS(F12)/D12</x:f>
        <x:v>0.004317167937832781</x:v>
      </x:c>
    </x:row>
    <x:row r="13" ht="25" customHeight="1">
      <x:c r="A13" s="15" t="n">
        <x:v>2014</x:v>
      </x:c>
      <x:c r="B13" s="15" t="str">
        <x:v>朝阳区</x:v>
      </x:c>
      <x:c r="C13" s="15" t="str">
        <x:v>高中招生数 vs 高中一年级在校生</x:v>
      </x:c>
      <x:c r="D13" s="17" t="n">
        <x:v>4362</x:v>
      </x:c>
      <x:c r="E13" s="17" t="n">
        <x:v>4547</x:v>
      </x:c>
      <x:c r="F13" s="17" t="n">
        <x:v>-185</x:v>
      </x:c>
      <x:c r="G13" s="18" t="n">
        <x:f>ABS(F13)/D13</x:f>
        <x:v>0.042411737734983954</x:v>
      </x:c>
    </x:row>
    <x:row r="14" ht="25" customHeight="1">
      <x:c r="A14" s="15" t="n">
        <x:v>2015</x:v>
      </x:c>
      <x:c r="B14" s="15" t="str">
        <x:v>北京市</x:v>
      </x:c>
      <x:c r="C14" s="15" t="str">
        <x:v>小学招生数 vs 小学一年级在校生</x:v>
      </x:c>
      <x:c r="D14" s="17" t="n">
        <x:v>145876</x:v>
      </x:c>
      <x:c r="E14" s="17" t="n">
        <x:v>145995</x:v>
      </x:c>
      <x:c r="F14" s="17" t="n">
        <x:v>-119</x:v>
      </x:c>
      <x:c r="G14" s="18" t="n">
        <x:f>ABS(F14)/D14</x:f>
        <x:v>0.0008157613315418575</x:v>
      </x:c>
    </x:row>
    <x:row r="15" ht="25" customHeight="1">
      <x:c r="A15" s="15" t="n">
        <x:v>2015</x:v>
      </x:c>
      <x:c r="B15" s="15" t="str">
        <x:v>北京市</x:v>
      </x:c>
      <x:c r="C15" s="15" t="str">
        <x:v>初中招生数 vs 初中一年级在校生</x:v>
      </x:c>
      <x:c r="D15" s="17" t="n">
        <x:v>89152</x:v>
      </x:c>
      <x:c r="E15" s="17" t="n">
        <x:v>89282</x:v>
      </x:c>
      <x:c r="F15" s="17" t="n">
        <x:v>-130</x:v>
      </x:c>
      <x:c r="G15" s="18" t="n">
        <x:f>ABS(F15)/D15</x:f>
        <x:v>0.001458183776022972</x:v>
      </x:c>
    </x:row>
    <x:row r="16" ht="25" customHeight="1">
      <x:c r="A16" s="15" t="n">
        <x:v>2015</x:v>
      </x:c>
      <x:c r="B16" s="15" t="str">
        <x:v>北京市</x:v>
      </x:c>
      <x:c r="C16" s="15" t="str">
        <x:v>高中招生数 vs 高中一年级在校生</x:v>
      </x:c>
      <x:c r="D16" s="17" t="n">
        <x:v>56743</x:v>
      </x:c>
      <x:c r="E16" s="17" t="n">
        <x:v>56937</x:v>
      </x:c>
      <x:c r="F16" s="17" t="n">
        <x:v>-194</x:v>
      </x:c>
      <x:c r="G16" s="18" t="n">
        <x:f>ABS(F16)/D16</x:f>
        <x:v>0.0034189239201311175</x:v>
      </x:c>
    </x:row>
    <x:row r="17" ht="25" customHeight="1">
      <x:c r="A17" s="15" t="n">
        <x:v>2015</x:v>
      </x:c>
      <x:c r="B17" s="15" t="str">
        <x:v>西城区</x:v>
      </x:c>
      <x:c r="C17" s="15" t="str">
        <x:v>小学招生数 vs 小学一年级在校生</x:v>
      </x:c>
      <x:c r="D17" s="17" t="n">
        <x:v>13074</x:v>
      </x:c>
      <x:c r="E17" s="17" t="n">
        <x:v>13078</x:v>
      </x:c>
      <x:c r="F17" s="17" t="n">
        <x:v>-4</x:v>
      </x:c>
      <x:c r="G17" s="18" t="n">
        <x:f>ABS(F17)/D17</x:f>
        <x:v>0.0003059507419305492</x:v>
      </x:c>
    </x:row>
    <x:row r="18" ht="25" customHeight="1">
      <x:c r="A18" s="15" t="n">
        <x:v>2015</x:v>
      </x:c>
      <x:c r="B18" s="15" t="str">
        <x:v>西城区</x:v>
      </x:c>
      <x:c r="C18" s="15" t="str">
        <x:v>初中招生数 vs 初中一年级在校生</x:v>
      </x:c>
      <x:c r="D18" s="17" t="n">
        <x:v>7857</x:v>
      </x:c>
      <x:c r="E18" s="17" t="n">
        <x:v>7870</x:v>
      </x:c>
      <x:c r="F18" s="17" t="n">
        <x:v>-13</x:v>
      </x:c>
      <x:c r="G18" s="18" t="n">
        <x:f>ABS(F18)/D18</x:f>
        <x:v>0.0016545755377370497</x:v>
      </x:c>
    </x:row>
    <x:row r="19" ht="25" customHeight="1">
      <x:c r="A19" s="15" t="n">
        <x:v>2015</x:v>
      </x:c>
      <x:c r="B19" s="15" t="str">
        <x:v>西城区</x:v>
      </x:c>
      <x:c r="C19" s="15" t="str">
        <x:v>高中招生数 vs 高中一年级在校生</x:v>
      </x:c>
      <x:c r="D19" s="17" t="n">
        <x:v>7068</x:v>
      </x:c>
      <x:c r="E19" s="17" t="n">
        <x:v>7089</x:v>
      </x:c>
      <x:c r="F19" s="17" t="n">
        <x:v>-21</x:v>
      </x:c>
      <x:c r="G19" s="18" t="n">
        <x:f>ABS(F19)/D19</x:f>
        <x:v>0.0029711375212224107</x:v>
      </x:c>
    </x:row>
    <x:row r="20" ht="25" customHeight="1">
      <x:c r="A20" s="15" t="n">
        <x:v>2015</x:v>
      </x:c>
      <x:c r="B20" s="15" t="str">
        <x:v>朝阳区</x:v>
      </x:c>
      <x:c r="C20" s="15" t="str">
        <x:v>小学招生数 vs 小学一年级在校生</x:v>
      </x:c>
      <x:c r="D20" s="17" t="n">
        <x:v>21176</x:v>
      </x:c>
      <x:c r="E20" s="17" t="n">
        <x:v>21176</x:v>
      </x:c>
      <x:c r="F20" s="17" t="n">
        <x:v>0</x:v>
      </x:c>
      <x:c r="G20" s="18" t="n">
        <x:f>ABS(F20)/D20</x:f>
        <x:v>0</x:v>
      </x:c>
    </x:row>
    <x:row r="21" ht="25" customHeight="1">
      <x:c r="A21" s="15" t="n">
        <x:v>2015</x:v>
      </x:c>
      <x:c r="B21" s="15" t="str">
        <x:v>朝阳区</x:v>
      </x:c>
      <x:c r="C21" s="15" t="str">
        <x:v>初中招生数 vs 初中一年级在校生</x:v>
      </x:c>
      <x:c r="D21" s="17" t="n">
        <x:v>12153</x:v>
      </x:c>
      <x:c r="E21" s="17" t="n">
        <x:v>12183</x:v>
      </x:c>
      <x:c r="F21" s="17" t="n">
        <x:v>-30</x:v>
      </x:c>
      <x:c r="G21" s="18" t="n">
        <x:f>ABS(F21)/D21</x:f>
        <x:v>0.0024685262898049864</x:v>
      </x:c>
    </x:row>
    <x:row r="22" ht="25" customHeight="1">
      <x:c r="A22" s="15" t="n">
        <x:v>2015</x:v>
      </x:c>
      <x:c r="B22" s="15" t="str">
        <x:v>朝阳区</x:v>
      </x:c>
      <x:c r="C22" s="15" t="str">
        <x:v>高中招生数 vs 高中一年级在校生</x:v>
      </x:c>
      <x:c r="D22" s="17" t="n">
        <x:v>4665</x:v>
      </x:c>
      <x:c r="E22" s="17" t="n">
        <x:v>4764</x:v>
      </x:c>
      <x:c r="F22" s="17" t="n">
        <x:v>-99</x:v>
      </x:c>
      <x:c r="G22" s="18" t="n">
        <x:f>ABS(F22)/D22</x:f>
        <x:v>0.02122186495176849</x:v>
      </x:c>
    </x:row>
    <x:row r="23" ht="25" customHeight="1">
      <x:c r="A23" s="15" t="n">
        <x:v>2016</x:v>
      </x:c>
      <x:c r="B23" s="15" t="str">
        <x:v>北京市</x:v>
      </x:c>
      <x:c r="C23" s="15" t="str">
        <x:v>小学招生数 vs 小学一年级在校生</x:v>
      </x:c>
      <x:c r="D23" s="17" t="n">
        <x:v>145274</x:v>
      </x:c>
      <x:c r="E23" s="17" t="n">
        <x:v>145393</x:v>
      </x:c>
      <x:c r="F23" s="17" t="n">
        <x:v>-119</x:v>
      </x:c>
      <x:c r="G23" s="18" t="n">
        <x:f>ABS(F23)/D23</x:f>
        <x:v>0.0008191417597092391</x:v>
      </x:c>
    </x:row>
    <x:row r="24" ht="25" customHeight="1">
      <x:c r="A24" s="15" t="n">
        <x:v>2016</x:v>
      </x:c>
      <x:c r="B24" s="15" t="str">
        <x:v>北京市</x:v>
      </x:c>
      <x:c r="C24" s="15" t="str">
        <x:v>初中招生数 vs 初中一年级在校生</x:v>
      </x:c>
      <x:c r="D24" s="17" t="n">
        <x:v>91854</x:v>
      </x:c>
      <x:c r="E24" s="17" t="n">
        <x:v>91976</x:v>
      </x:c>
      <x:c r="F24" s="17" t="n">
        <x:v>-122</x:v>
      </x:c>
      <x:c r="G24" s="18" t="n">
        <x:f>ABS(F24)/D24</x:f>
        <x:v>0.001328194743832604</x:v>
      </x:c>
    </x:row>
    <x:row r="25" ht="25" customHeight="1">
      <x:c r="A25" s="15" t="n">
        <x:v>2016</x:v>
      </x:c>
      <x:c r="B25" s="15" t="str">
        <x:v>北京市</x:v>
      </x:c>
      <x:c r="C25" s="15" t="str">
        <x:v>高中招生数 vs 高中一年级在校生</x:v>
      </x:c>
      <x:c r="D25" s="17" t="n">
        <x:v>53544</x:v>
      </x:c>
      <x:c r="E25" s="17" t="n">
        <x:v>53687</x:v>
      </x:c>
      <x:c r="F25" s="17" t="n">
        <x:v>-143</x:v>
      </x:c>
      <x:c r="G25" s="18" t="n">
        <x:f>ABS(F25)/D25</x:f>
        <x:v>0.0026707007321081725</x:v>
      </x:c>
    </x:row>
    <x:row r="26" ht="25" customHeight="1">
      <x:c r="A26" s="15" t="n">
        <x:v>2016</x:v>
      </x:c>
      <x:c r="B26" s="15" t="str">
        <x:v>西城区</x:v>
      </x:c>
      <x:c r="C26" s="15" t="str">
        <x:v>小学招生数 vs 小学一年级在校生</x:v>
      </x:c>
      <x:c r="D26" s="17" t="n">
        <x:v>13455</x:v>
      </x:c>
      <x:c r="E26" s="17" t="n">
        <x:v>13457</x:v>
      </x:c>
      <x:c r="F26" s="17" t="n">
        <x:v>-2</x:v>
      </x:c>
      <x:c r="G26" s="18" t="n">
        <x:f>ABS(F26)/D26</x:f>
        <x:v>0.00014864362690449647</x:v>
      </x:c>
    </x:row>
    <x:row r="27" ht="25" customHeight="1">
      <x:c r="A27" s="15" t="n">
        <x:v>2016</x:v>
      </x:c>
      <x:c r="B27" s="15" t="str">
        <x:v>西城区</x:v>
      </x:c>
      <x:c r="C27" s="15" t="str">
        <x:v>初中招生数 vs 初中一年级在校生</x:v>
      </x:c>
      <x:c r="D27" s="17" t="n">
        <x:v>8325</x:v>
      </x:c>
      <x:c r="E27" s="17" t="n">
        <x:v>8343</x:v>
      </x:c>
      <x:c r="F27" s="17" t="n">
        <x:v>-18</x:v>
      </x:c>
      <x:c r="G27" s="18" t="n">
        <x:f>ABS(F27)/D27</x:f>
        <x:v>0.002162162162162162</x:v>
      </x:c>
    </x:row>
    <x:row r="28" ht="25" customHeight="1">
      <x:c r="A28" s="15" t="n">
        <x:v>2016</x:v>
      </x:c>
      <x:c r="B28" s="15" t="str">
        <x:v>西城区</x:v>
      </x:c>
      <x:c r="C28" s="15" t="str">
        <x:v>高中招生数 vs 高中一年级在校生</x:v>
      </x:c>
      <x:c r="D28" s="17" t="n">
        <x:v>6603</x:v>
      </x:c>
      <x:c r="E28" s="17" t="n">
        <x:v>6631</x:v>
      </x:c>
      <x:c r="F28" s="17" t="n">
        <x:v>-28</x:v>
      </x:c>
      <x:c r="G28" s="18" t="n">
        <x:f>ABS(F28)/D28</x:f>
        <x:v>0.004240496743904286</x:v>
      </x:c>
    </x:row>
    <x:row r="29" ht="25" customHeight="1">
      <x:c r="A29" s="15" t="n">
        <x:v>2016</x:v>
      </x:c>
      <x:c r="B29" s="15" t="str">
        <x:v>朝阳区</x:v>
      </x:c>
      <x:c r="C29" s="15" t="str">
        <x:v>小学招生数 vs 小学一年级在校生</x:v>
      </x:c>
      <x:c r="D29" s="17" t="n">
        <x:v>22093</x:v>
      </x:c>
      <x:c r="E29" s="17" t="n">
        <x:v>22099</x:v>
      </x:c>
      <x:c r="F29" s="17" t="n">
        <x:v>-6</x:v>
      </x:c>
      <x:c r="G29" s="18" t="n">
        <x:f>ABS(F29)/D29</x:f>
        <x:v>0.00027157923324129817</x:v>
      </x:c>
    </x:row>
    <x:row r="30" ht="25" customHeight="1">
      <x:c r="A30" s="15" t="n">
        <x:v>2016</x:v>
      </x:c>
      <x:c r="B30" s="15" t="str">
        <x:v>朝阳区</x:v>
      </x:c>
      <x:c r="C30" s="15" t="str">
        <x:v>初中招生数 vs 初中一年级在校生</x:v>
      </x:c>
      <x:c r="D30" s="17" t="n">
        <x:v>12910</x:v>
      </x:c>
      <x:c r="E30" s="17" t="n">
        <x:v>12942</x:v>
      </x:c>
      <x:c r="F30" s="17" t="n">
        <x:v>-32</x:v>
      </x:c>
      <x:c r="G30" s="18" t="n">
        <x:f>ABS(F30)/D30</x:f>
        <x:v>0.0024786986831913244</x:v>
      </x:c>
    </x:row>
    <x:row r="31" ht="25" customHeight="1">
      <x:c r="A31" s="15" t="n">
        <x:v>2016</x:v>
      </x:c>
      <x:c r="B31" s="15" t="str">
        <x:v>朝阳区</x:v>
      </x:c>
      <x:c r="C31" s="15" t="str">
        <x:v>高中招生数 vs 高中一年级在校生</x:v>
      </x:c>
      <x:c r="D31" s="17" t="n">
        <x:v>4537</x:v>
      </x:c>
      <x:c r="E31" s="17" t="n">
        <x:v>4569</x:v>
      </x:c>
      <x:c r="F31" s="17" t="n">
        <x:v>-32</x:v>
      </x:c>
      <x:c r="G31" s="18" t="n">
        <x:f>ABS(F31)/D31</x:f>
        <x:v>0.007053118800969804</x:v>
      </x:c>
    </x:row>
    <x:row r="32" ht="25" customHeight="1">
      <x:c r="A32" s="15" t="n">
        <x:v>2017</x:v>
      </x:c>
      <x:c r="B32" s="15" t="str">
        <x:v>北京市</x:v>
      </x:c>
      <x:c r="C32" s="15" t="str">
        <x:v>小学招生数 vs 小学一年级在校生</x:v>
      </x:c>
      <x:c r="D32" s="17" t="n">
        <x:v>157559</x:v>
      </x:c>
      <x:c r="E32" s="17" t="n">
        <x:v>157658</x:v>
      </x:c>
      <x:c r="F32" s="17" t="n">
        <x:v>-99</x:v>
      </x:c>
      <x:c r="G32" s="18" t="n">
        <x:f>ABS(F32)/D32</x:f>
        <x:v>0.0006283360518916723</x:v>
      </x:c>
    </x:row>
    <x:row r="33" ht="25" customHeight="1">
      <x:c r="A33" s="15" t="n">
        <x:v>2017</x:v>
      </x:c>
      <x:c r="B33" s="15" t="str">
        <x:v>北京市</x:v>
      </x:c>
      <x:c r="C33" s="15" t="str">
        <x:v>初中招生数 vs 初中一年级在校生</x:v>
      </x:c>
      <x:c r="D33" s="17" t="n">
        <x:v>103263</x:v>
      </x:c>
      <x:c r="E33" s="17" t="n">
        <x:v>103371</x:v>
      </x:c>
      <x:c r="F33" s="17" t="n">
        <x:v>-108</x:v>
      </x:c>
      <x:c r="G33" s="18" t="n">
        <x:f>ABS(F33)/D33</x:f>
        <x:v>0.00104587315882746</x:v>
      </x:c>
    </x:row>
    <x:row r="34" ht="25" customHeight="1">
      <x:c r="A34" s="15" t="n">
        <x:v>2017</x:v>
      </x:c>
      <x:c r="B34" s="15" t="str">
        <x:v>北京市</x:v>
      </x:c>
      <x:c r="C34" s="15" t="str">
        <x:v>高中招生数 vs 高中一年级在校生</x:v>
      </x:c>
      <x:c r="D34" s="17" t="n">
        <x:v>53755</x:v>
      </x:c>
      <x:c r="E34" s="17" t="n">
        <x:v>54068</x:v>
      </x:c>
      <x:c r="F34" s="17" t="n">
        <x:v>-313</x:v>
      </x:c>
      <x:c r="G34" s="18" t="n">
        <x:f>ABS(F34)/D34</x:f>
        <x:v>0.005822714166124081</x:v>
      </x:c>
    </x:row>
    <x:row r="35" ht="25" customHeight="1">
      <x:c r="A35" s="15" t="n">
        <x:v>2017</x:v>
      </x:c>
      <x:c r="B35" s="15" t="str">
        <x:v>西城区</x:v>
      </x:c>
      <x:c r="C35" s="15" t="str">
        <x:v>小学招生数 vs 小学一年级在校生</x:v>
      </x:c>
      <x:c r="D35" s="17" t="n">
        <x:v>15050</x:v>
      </x:c>
      <x:c r="E35" s="17" t="n">
        <x:v>15054</x:v>
      </x:c>
      <x:c r="F35" s="17" t="n">
        <x:v>-4</x:v>
      </x:c>
      <x:c r="G35" s="18" t="n">
        <x:f>ABS(F35)/D35</x:f>
        <x:v>0.00026578073089701</x:v>
      </x:c>
    </x:row>
    <x:row r="36" ht="25" customHeight="1">
      <x:c r="A36" s="15" t="n">
        <x:v>2017</x:v>
      </x:c>
      <x:c r="B36" s="15" t="str">
        <x:v>西城区</x:v>
      </x:c>
      <x:c r="C36" s="15" t="str">
        <x:v>初中招生数 vs 初中一年级在校生</x:v>
      </x:c>
      <x:c r="D36" s="17" t="n">
        <x:v>10181</x:v>
      </x:c>
      <x:c r="E36" s="17" t="n">
        <x:v>10196</x:v>
      </x:c>
      <x:c r="F36" s="17" t="n">
        <x:v>-15</x:v>
      </x:c>
      <x:c r="G36" s="18" t="n">
        <x:f>ABS(F36)/D36</x:f>
        <x:v>0.0014733326785188097</x:v>
      </x:c>
    </x:row>
    <x:row r="37" ht="25" customHeight="1">
      <x:c r="A37" s="15" t="n">
        <x:v>2017</x:v>
      </x:c>
      <x:c r="B37" s="15" t="str">
        <x:v>西城区</x:v>
      </x:c>
      <x:c r="C37" s="15" t="str">
        <x:v>高中招生数 vs 高中一年级在校生</x:v>
      </x:c>
      <x:c r="D37" s="17" t="n">
        <x:v>6596</x:v>
      </x:c>
      <x:c r="E37" s="17" t="n">
        <x:v>6629</x:v>
      </x:c>
      <x:c r="F37" s="17" t="n">
        <x:v>-33</x:v>
      </x:c>
      <x:c r="G37" s="18" t="n">
        <x:f>ABS(F37)/D37</x:f>
        <x:v>0.005003032140691328</x:v>
      </x:c>
    </x:row>
    <x:row r="38" ht="25" customHeight="1">
      <x:c r="A38" s="15" t="n">
        <x:v>2017</x:v>
      </x:c>
      <x:c r="B38" s="15" t="str">
        <x:v>朝阳区</x:v>
      </x:c>
      <x:c r="C38" s="15" t="str">
        <x:v>小学招生数 vs 小学一年级在校生</x:v>
      </x:c>
      <x:c r="D38" s="17" t="n">
        <x:v>24570</x:v>
      </x:c>
      <x:c r="E38" s="17" t="n">
        <x:v>24576</x:v>
      </x:c>
      <x:c r="F38" s="17" t="n">
        <x:v>-6</x:v>
      </x:c>
      <x:c r="G38" s="18" t="n">
        <x:f>ABS(F38)/D38</x:f>
        <x:v>0.0002442002442002442</x:v>
      </x:c>
    </x:row>
    <x:row r="39" ht="25" customHeight="1">
      <x:c r="A39" s="15" t="n">
        <x:v>2017</x:v>
      </x:c>
      <x:c r="B39" s="15" t="str">
        <x:v>朝阳区</x:v>
      </x:c>
      <x:c r="C39" s="15" t="str">
        <x:v>初中招生数 vs 初中一年级在校生</x:v>
      </x:c>
      <x:c r="D39" s="17" t="n">
        <x:v>14290</x:v>
      </x:c>
      <x:c r="E39" s="17" t="n">
        <x:v>14319</x:v>
      </x:c>
      <x:c r="F39" s="17" t="n">
        <x:v>-29</x:v>
      </x:c>
      <x:c r="G39" s="18" t="n">
        <x:f>ABS(F39)/D39</x:f>
        <x:v>0.0020293911826452064</x:v>
      </x:c>
    </x:row>
    <x:row r="40" ht="25" customHeight="1">
      <x:c r="A40" s="15" t="n">
        <x:v>2017</x:v>
      </x:c>
      <x:c r="B40" s="15" t="str">
        <x:v>朝阳区</x:v>
      </x:c>
      <x:c r="C40" s="15" t="str">
        <x:v>高中招生数 vs 高中一年级在校生</x:v>
      </x:c>
      <x:c r="D40" s="17" t="n">
        <x:v>4430</x:v>
      </x:c>
      <x:c r="E40" s="17" t="n">
        <x:v>4534</x:v>
      </x:c>
      <x:c r="F40" s="17" t="n">
        <x:v>-104</x:v>
      </x:c>
      <x:c r="G40" s="18" t="n">
        <x:f>ABS(F40)/D40</x:f>
        <x:v>0.02347629796839729</x:v>
      </x:c>
    </x:row>
    <x:row r="41" ht="25" customHeight="1">
      <x:c r="A41" s="15" t="n">
        <x:v>2018</x:v>
      </x:c>
      <x:c r="B41" s="15" t="str">
        <x:v>北京市</x:v>
      </x:c>
      <x:c r="C41" s="15" t="str">
        <x:v>小学招生数 vs 小学一年级在校生</x:v>
      </x:c>
      <x:c r="D41" s="17" t="n">
        <x:v>184339</x:v>
      </x:c>
      <x:c r="E41" s="17" t="n">
        <x:v>184449</x:v>
      </x:c>
      <x:c r="F41" s="17" t="n">
        <x:v>-110</x:v>
      </x:c>
      <x:c r="G41" s="18" t="n">
        <x:f>ABS(F41)/D41</x:f>
        <x:v>0.0005967266829048655</x:v>
      </x:c>
    </x:row>
    <x:row r="42" ht="25" customHeight="1">
      <x:c r="A42" s="15" t="n">
        <x:v>2018</x:v>
      </x:c>
      <x:c r="B42" s="15" t="str">
        <x:v>北京市</x:v>
      </x:c>
      <x:c r="C42" s="15" t="str">
        <x:v>初中招生数 vs 初中一年级在校生</x:v>
      </x:c>
      <x:c r="D42" s="17" t="n">
        <x:v>100984</x:v>
      </x:c>
      <x:c r="E42" s="17" t="n">
        <x:v>101097</x:v>
      </x:c>
      <x:c r="F42" s="17" t="n">
        <x:v>-113</x:v>
      </x:c>
      <x:c r="G42" s="18" t="n">
        <x:f>ABS(F42)/D42</x:f>
        <x:v>0.001118989146795532</x:v>
      </x:c>
    </x:row>
    <x:row r="43" ht="25" customHeight="1">
      <x:c r="A43" s="15" t="n">
        <x:v>2018</x:v>
      </x:c>
      <x:c r="B43" s="15" t="str">
        <x:v>北京市</x:v>
      </x:c>
      <x:c r="C43" s="15" t="str">
        <x:v>高中招生数 vs 高中一年级在校生</x:v>
      </x:c>
      <x:c r="D43" s="17" t="n">
        <x:v>47355</x:v>
      </x:c>
      <x:c r="E43" s="17" t="n">
        <x:v>47702</x:v>
      </x:c>
      <x:c r="F43" s="17" t="n">
        <x:v>-347</x:v>
      </x:c>
      <x:c r="G43" s="18" t="n">
        <x:f>ABS(F43)/D43</x:f>
        <x:v>0.00732763171787562</x:v>
      </x:c>
    </x:row>
    <x:row r="44" ht="25" customHeight="1">
      <x:c r="A44" s="15" t="n">
        <x:v>2018</x:v>
      </x:c>
      <x:c r="B44" s="15" t="str">
        <x:v>西城区</x:v>
      </x:c>
      <x:c r="C44" s="15" t="str">
        <x:v>小学招生数 vs 小学一年级在校生</x:v>
      </x:c>
      <x:c r="D44" s="17" t="n">
        <x:v>18328</x:v>
      </x:c>
      <x:c r="E44" s="17" t="n">
        <x:v>18333</x:v>
      </x:c>
      <x:c r="F44" s="17" t="n">
        <x:v>-5</x:v>
      </x:c>
      <x:c r="G44" s="18" t="n">
        <x:f>ABS(F44)/D44</x:f>
        <x:v>0.0002728066346573549</x:v>
      </x:c>
    </x:row>
    <x:row r="45" ht="25" customHeight="1">
      <x:c r="A45" s="15" t="n">
        <x:v>2018</x:v>
      </x:c>
      <x:c r="B45" s="15" t="str">
        <x:v>西城区</x:v>
      </x:c>
      <x:c r="C45" s="15" t="str">
        <x:v>初中招生数 vs 初中一年级在校生</x:v>
      </x:c>
      <x:c r="D45" s="17" t="n">
        <x:v>10119</x:v>
      </x:c>
      <x:c r="E45" s="17" t="n">
        <x:v>10129</x:v>
      </x:c>
      <x:c r="F45" s="17" t="n">
        <x:v>-10</x:v>
      </x:c>
      <x:c r="G45" s="18" t="n">
        <x:f>ABS(F45)/D45</x:f>
        <x:v>0.000988239944658563</x:v>
      </x:c>
    </x:row>
    <x:row r="46" ht="25" customHeight="1">
      <x:c r="A46" s="15" t="n">
        <x:v>2018</x:v>
      </x:c>
      <x:c r="B46" s="15" t="str">
        <x:v>西城区</x:v>
      </x:c>
      <x:c r="C46" s="15" t="str">
        <x:v>高中招生数 vs 高中一年级在校生</x:v>
      </x:c>
      <x:c r="D46" s="17" t="n">
        <x:v>5697</x:v>
      </x:c>
      <x:c r="E46" s="17" t="n">
        <x:v>5732</x:v>
      </x:c>
      <x:c r="F46" s="17" t="n">
        <x:v>-35</x:v>
      </x:c>
      <x:c r="G46" s="18" t="n">
        <x:f>ABS(F46)/D46</x:f>
        <x:v>0.006143584342636475</x:v>
      </x:c>
    </x:row>
    <x:row r="47" ht="25" customHeight="1">
      <x:c r="A47" s="15" t="n">
        <x:v>2018</x:v>
      </x:c>
      <x:c r="B47" s="15" t="str">
        <x:v>朝阳区</x:v>
      </x:c>
      <x:c r="C47" s="15" t="str">
        <x:v>小学招生数 vs 小学一年级在校生</x:v>
      </x:c>
      <x:c r="D47" s="17" t="n">
        <x:v>28505</x:v>
      </x:c>
      <x:c r="E47" s="17" t="n">
        <x:v>28519</x:v>
      </x:c>
      <x:c r="F47" s="17" t="n">
        <x:v>-14</x:v>
      </x:c>
      <x:c r="G47" s="18" t="n">
        <x:f>ABS(F47)/D47</x:f>
        <x:v>0.0004911419049289598</x:v>
      </x:c>
    </x:row>
    <x:row r="48" ht="25" customHeight="1">
      <x:c r="A48" s="15" t="n">
        <x:v>2018</x:v>
      </x:c>
      <x:c r="B48" s="15" t="str">
        <x:v>朝阳区</x:v>
      </x:c>
      <x:c r="C48" s="15" t="str">
        <x:v>初中招生数 vs 初中一年级在校生</x:v>
      </x:c>
      <x:c r="D48" s="17" t="n">
        <x:v>13693</x:v>
      </x:c>
      <x:c r="E48" s="17" t="n">
        <x:v>13728</x:v>
      </x:c>
      <x:c r="F48" s="17" t="n">
        <x:v>-35</x:v>
      </x:c>
      <x:c r="G48" s="18" t="n">
        <x:f>ABS(F48)/D48</x:f>
        <x:v>0.0025560505367706126</x:v>
      </x:c>
    </x:row>
    <x:row r="49" ht="25" customHeight="1">
      <x:c r="A49" s="15" t="n">
        <x:v>2018</x:v>
      </x:c>
      <x:c r="B49" s="15" t="str">
        <x:v>朝阳区</x:v>
      </x:c>
      <x:c r="C49" s="15" t="str">
        <x:v>高中招生数 vs 高中一年级在校生</x:v>
      </x:c>
      <x:c r="D49" s="17" t="n">
        <x:v>3745</x:v>
      </x:c>
      <x:c r="E49" s="17" t="n">
        <x:v>3845</x:v>
      </x:c>
      <x:c r="F49" s="17" t="n">
        <x:v>-100</x:v>
      </x:c>
      <x:c r="G49" s="18" t="n">
        <x:f>ABS(F49)/D49</x:f>
        <x:v>0.0267022696929239</x:v>
      </x:c>
    </x:row>
    <x:row r="50" ht="25" customHeight="1">
      <x:c r="A50" s="15" t="n">
        <x:v>2019</x:v>
      </x:c>
      <x:c r="B50" s="15" t="str">
        <x:v>北京市</x:v>
      </x:c>
      <x:c r="C50" s="15" t="str">
        <x:v>小学招生数 vs 小学一年级在校生</x:v>
      </x:c>
      <x:c r="D50" s="17" t="n">
        <x:v>182873</x:v>
      </x:c>
      <x:c r="E50" s="17" t="n">
        <x:v>182979</x:v>
      </x:c>
      <x:c r="F50" s="17" t="n">
        <x:v>-106</x:v>
      </x:c>
      <x:c r="G50" s="18" t="n">
        <x:f>ABS(F50)/D50</x:f>
        <x:v>0.0005796372345835634</x:v>
      </x:c>
    </x:row>
    <x:row r="51" ht="25" customHeight="1">
      <x:c r="A51" s="15" t="n">
        <x:v>2019</x:v>
      </x:c>
      <x:c r="B51" s="15" t="str">
        <x:v>北京市</x:v>
      </x:c>
      <x:c r="C51" s="15" t="str">
        <x:v>初中招生数 vs 初中一年级在校生</x:v>
      </x:c>
      <x:c r="D51" s="17" t="n">
        <x:v>117398</x:v>
      </x:c>
      <x:c r="E51" s="17" t="n">
        <x:v>117528</x:v>
      </x:c>
      <x:c r="F51" s="17" t="n">
        <x:v>-130</x:v>
      </x:c>
      <x:c r="G51" s="18" t="n">
        <x:f>ABS(F51)/D51</x:f>
        <x:v>0.0011073442477725344</x:v>
      </x:c>
    </x:row>
    <x:row r="52" ht="25" customHeight="1">
      <x:c r="A52" s="15" t="n">
        <x:v>2019</x:v>
      </x:c>
      <x:c r="B52" s="15" t="str">
        <x:v>北京市</x:v>
      </x:c>
      <x:c r="C52" s="15" t="str">
        <x:v>高中招生数 vs 高中一年级在校生</x:v>
      </x:c>
      <x:c r="D52" s="17" t="n">
        <x:v>51403</x:v>
      </x:c>
      <x:c r="E52" s="17" t="n">
        <x:v>51879</x:v>
      </x:c>
      <x:c r="F52" s="17" t="n">
        <x:v>-476</x:v>
      </x:c>
      <x:c r="G52" s="18" t="n">
        <x:f>ABS(F52)/D52</x:f>
        <x:v>0.009260159912845553</x:v>
      </x:c>
    </x:row>
    <x:row r="53" ht="25" customHeight="1">
      <x:c r="A53" s="15" t="n">
        <x:v>2019</x:v>
      </x:c>
      <x:c r="B53" s="15" t="str">
        <x:v>西城区</x:v>
      </x:c>
      <x:c r="C53" s="15" t="str">
        <x:v>小学招生数 vs 小学一年级在校生</x:v>
      </x:c>
      <x:c r="D53" s="17" t="n">
        <x:v>18623</x:v>
      </x:c>
      <x:c r="E53" s="17" t="n">
        <x:v>18638</x:v>
      </x:c>
      <x:c r="F53" s="17" t="n">
        <x:v>-15</x:v>
      </x:c>
      <x:c r="G53" s="18" t="n">
        <x:f>ABS(F53)/D53</x:f>
        <x:v>0.0008054556193953713</x:v>
      </x:c>
    </x:row>
    <x:row r="54" ht="25" customHeight="1">
      <x:c r="A54" s="15" t="n">
        <x:v>2019</x:v>
      </x:c>
      <x:c r="B54" s="15" t="str">
        <x:v>西城区</x:v>
      </x:c>
      <x:c r="C54" s="15" t="str">
        <x:v>初中招生数 vs 初中一年级在校生</x:v>
      </x:c>
      <x:c r="D54" s="17" t="n">
        <x:v>12513</x:v>
      </x:c>
      <x:c r="E54" s="17" t="n">
        <x:v>12542</x:v>
      </x:c>
      <x:c r="F54" s="17" t="n">
        <x:v>-29</x:v>
      </x:c>
      <x:c r="G54" s="18" t="n">
        <x:f>ABS(F54)/D54</x:f>
        <x:v>0.0023175897067050266</x:v>
      </x:c>
    </x:row>
    <x:row r="55" ht="25" customHeight="1">
      <x:c r="A55" s="15" t="n">
        <x:v>2019</x:v>
      </x:c>
      <x:c r="B55" s="15" t="str">
        <x:v>西城区</x:v>
      </x:c>
      <x:c r="C55" s="15" t="str">
        <x:v>高中招生数 vs 高中一年级在校生</x:v>
      </x:c>
      <x:c r="D55" s="17" t="n">
        <x:v>6120</x:v>
      </x:c>
      <x:c r="E55" s="17" t="n">
        <x:v>6183</x:v>
      </x:c>
      <x:c r="F55" s="17" t="n">
        <x:v>-63</x:v>
      </x:c>
      <x:c r="G55" s="18" t="n">
        <x:f>ABS(F55)/D55</x:f>
        <x:v>0.010294117647058823</x:v>
      </x:c>
    </x:row>
    <x:row r="56" ht="25" customHeight="1">
      <x:c r="A56" s="15" t="n">
        <x:v>2019</x:v>
      </x:c>
      <x:c r="B56" s="15" t="str">
        <x:v>朝阳区</x:v>
      </x:c>
      <x:c r="C56" s="15" t="str">
        <x:v>小学招生数 vs 小学一年级在校生</x:v>
      </x:c>
      <x:c r="D56" s="17" t="n">
        <x:v>28305</x:v>
      </x:c>
      <x:c r="E56" s="17" t="n">
        <x:v>28308</x:v>
      </x:c>
      <x:c r="F56" s="17" t="n">
        <x:v>-3</x:v>
      </x:c>
      <x:c r="G56" s="18" t="n">
        <x:f>ABS(F56)/D56</x:f>
        <x:v>0.00010598834128245893</x:v>
      </x:c>
    </x:row>
    <x:row r="57" ht="25" customHeight="1">
      <x:c r="A57" s="15" t="n">
        <x:v>2019</x:v>
      </x:c>
      <x:c r="B57" s="15" t="str">
        <x:v>朝阳区</x:v>
      </x:c>
      <x:c r="C57" s="15" t="str">
        <x:v>初中招生数 vs 初中一年级在校生</x:v>
      </x:c>
      <x:c r="D57" s="17" t="n">
        <x:v>16618</x:v>
      </x:c>
      <x:c r="E57" s="17" t="n">
        <x:v>16643</x:v>
      </x:c>
      <x:c r="F57" s="17" t="n">
        <x:v>-25</x:v>
      </x:c>
      <x:c r="G57" s="18" t="n">
        <x:f>ABS(F57)/D57</x:f>
        <x:v>0.0015043928270550007</x:v>
      </x:c>
    </x:row>
    <x:row r="58" ht="25" customHeight="1">
      <x:c r="A58" s="15" t="n">
        <x:v>2019</x:v>
      </x:c>
      <x:c r="B58" s="15" t="str">
        <x:v>朝阳区</x:v>
      </x:c>
      <x:c r="C58" s="15" t="str">
        <x:v>高中招生数 vs 高中一年级在校生</x:v>
      </x:c>
      <x:c r="D58" s="17" t="n">
        <x:v>4206</x:v>
      </x:c>
      <x:c r="E58" s="17" t="n">
        <x:v>4398</x:v>
      </x:c>
      <x:c r="F58" s="17" t="n">
        <x:v>-192</x:v>
      </x:c>
      <x:c r="G58" s="18" t="n">
        <x:f>ABS(F58)/D58</x:f>
        <x:v>0.0456490727532097</x:v>
      </x:c>
    </x:row>
    <x:row r="59" ht="25" customHeight="1">
      <x:c r="A59" s="15" t="n">
        <x:v>2020</x:v>
      </x:c>
      <x:c r="B59" s="15" t="str">
        <x:v>北京市</x:v>
      </x:c>
      <x:c r="C59" s="15" t="str">
        <x:v>小学招生数 vs 小学一年级在校生</x:v>
      </x:c>
      <x:c r="D59" s="17" t="n">
        <x:v>202157</x:v>
      </x:c>
      <x:c r="E59" s="17" t="n">
        <x:v>202226</x:v>
      </x:c>
      <x:c r="F59" s="17" t="n">
        <x:v>-69</x:v>
      </x:c>
      <x:c r="G59" s="18" t="n">
        <x:f>ABS(F59)/D59</x:f>
        <x:v>0.00034131887592316865</x:v>
      </x:c>
    </x:row>
    <x:row r="60" ht="25" customHeight="1">
      <x:c r="A60" s="15" t="n">
        <x:v>2020</x:v>
      </x:c>
      <x:c r="B60" s="15" t="str">
        <x:v>北京市</x:v>
      </x:c>
      <x:c r="C60" s="15" t="str">
        <x:v>初中招生数 vs 初中一年级在校生</x:v>
      </x:c>
      <x:c r="D60" s="17" t="n">
        <x:v>122123</x:v>
      </x:c>
      <x:c r="E60" s="17" t="n">
        <x:v>122222</x:v>
      </x:c>
      <x:c r="F60" s="17" t="n">
        <x:v>-99</x:v>
      </x:c>
      <x:c r="G60" s="18" t="n">
        <x:f>ABS(F60)/D60</x:f>
        <x:v>0.0008106581069904932</x:v>
      </x:c>
    </x:row>
    <x:row r="61" ht="25" customHeight="1">
      <x:c r="A61" s="15" t="n">
        <x:v>2020</x:v>
      </x:c>
      <x:c r="B61" s="15" t="str">
        <x:v>北京市</x:v>
      </x:c>
      <x:c r="C61" s="15" t="str">
        <x:v>高中招生数 vs 高中一年级在校生</x:v>
      </x:c>
      <x:c r="D61" s="17" t="n">
        <x:v>61071</x:v>
      </x:c>
      <x:c r="E61" s="17" t="n">
        <x:v>61423</x:v>
      </x:c>
      <x:c r="F61" s="17" t="n">
        <x:v>-352</x:v>
      </x:c>
      <x:c r="G61" s="18" t="n">
        <x:f>ABS(F61)/D61</x:f>
        <x:v>0.005763783137659445</x:v>
      </x:c>
    </x:row>
    <x:row r="62" ht="25" customHeight="1">
      <x:c r="A62" s="15" t="n">
        <x:v>2020</x:v>
      </x:c>
      <x:c r="B62" s="15" t="str">
        <x:v>西城区</x:v>
      </x:c>
      <x:c r="C62" s="15" t="str">
        <x:v>小学招生数 vs 小学一年级在校生</x:v>
      </x:c>
      <x:c r="D62" s="17" t="n">
        <x:v>21066</x:v>
      </x:c>
      <x:c r="E62" s="17" t="n">
        <x:v>21075</x:v>
      </x:c>
      <x:c r="F62" s="17" t="n">
        <x:v>-9</x:v>
      </x:c>
      <x:c r="G62" s="18" t="n">
        <x:f>ABS(F62)/D62</x:f>
        <x:v>0.0004272287097692965</x:v>
      </x:c>
    </x:row>
    <x:row r="63" ht="25" customHeight="1">
      <x:c r="A63" s="15" t="n">
        <x:v>2020</x:v>
      </x:c>
      <x:c r="B63" s="15" t="str">
        <x:v>西城区</x:v>
      </x:c>
      <x:c r="C63" s="15" t="str">
        <x:v>初中招生数 vs 初中一年级在校生</x:v>
      </x:c>
      <x:c r="D63" s="17" t="n">
        <x:v>12984</x:v>
      </x:c>
      <x:c r="E63" s="17" t="n">
        <x:v>13008</x:v>
      </x:c>
      <x:c r="F63" s="17" t="n">
        <x:v>-24</x:v>
      </x:c>
      <x:c r="G63" s="18" t="n">
        <x:f>ABS(F63)/D63</x:f>
        <x:v>0.0018484288354898336</x:v>
      </x:c>
    </x:row>
    <x:row r="64" ht="25" customHeight="1">
      <x:c r="A64" s="15" t="n">
        <x:v>2020</x:v>
      </x:c>
      <x:c r="B64" s="15" t="str">
        <x:v>西城区</x:v>
      </x:c>
      <x:c r="C64" s="15" t="str">
        <x:v>高中招生数 vs 高中一年级在校生</x:v>
      </x:c>
      <x:c r="D64" s="17" t="n">
        <x:v>7930</x:v>
      </x:c>
      <x:c r="E64" s="17" t="n">
        <x:v>7979</x:v>
      </x:c>
      <x:c r="F64" s="17" t="n">
        <x:v>-49</x:v>
      </x:c>
      <x:c r="G64" s="18" t="n">
        <x:f>ABS(F64)/D64</x:f>
        <x:v>0.00617906683480454</x:v>
      </x:c>
    </x:row>
    <x:row r="65" ht="25" customHeight="1">
      <x:c r="A65" s="15" t="n">
        <x:v>2020</x:v>
      </x:c>
      <x:c r="B65" s="15" t="str">
        <x:v>朝阳区</x:v>
      </x:c>
      <x:c r="C65" s="15" t="str">
        <x:v>小学招生数 vs 小学一年级在校生</x:v>
      </x:c>
      <x:c r="D65" s="17" t="n">
        <x:v>31426</x:v>
      </x:c>
      <x:c r="E65" s="17" t="n">
        <x:v>31432</x:v>
      </x:c>
      <x:c r="F65" s="17" t="n">
        <x:v>-6</x:v>
      </x:c>
      <x:c r="G65" s="18" t="n">
        <x:f>ABS(F65)/D65</x:f>
        <x:v>0.0001909247120218927</x:v>
      </x:c>
    </x:row>
    <x:row r="66" ht="25" customHeight="1">
      <x:c r="A66" s="15" t="n">
        <x:v>2020</x:v>
      </x:c>
      <x:c r="B66" s="15" t="str">
        <x:v>朝阳区</x:v>
      </x:c>
      <x:c r="C66" s="15" t="str">
        <x:v>初中招生数 vs 初中一年级在校生</x:v>
      </x:c>
      <x:c r="D66" s="17" t="n">
        <x:v>18224</x:v>
      </x:c>
      <x:c r="E66" s="17" t="n">
        <x:v>18241</x:v>
      </x:c>
      <x:c r="F66" s="17" t="n">
        <x:v>-17</x:v>
      </x:c>
      <x:c r="G66" s="18" t="n">
        <x:f>ABS(F66)/D66</x:f>
        <x:v>0.0009328358208955224</x:v>
      </x:c>
    </x:row>
    <x:row r="67" ht="25" customHeight="1">
      <x:c r="A67" s="15" t="n">
        <x:v>2020</x:v>
      </x:c>
      <x:c r="B67" s="15" t="str">
        <x:v>朝阳区</x:v>
      </x:c>
      <x:c r="C67" s="15" t="str">
        <x:v>高中招生数 vs 高中一年级在校生</x:v>
      </x:c>
      <x:c r="D67" s="17" t="n">
        <x:v>5513</x:v>
      </x:c>
      <x:c r="E67" s="17" t="n">
        <x:v>5609</x:v>
      </x:c>
      <x:c r="F67" s="17" t="n">
        <x:v>-96</x:v>
      </x:c>
      <x:c r="G67" s="18" t="n">
        <x:f>ABS(F67)/D67</x:f>
        <x:v>0.017413386540903318</x:v>
      </x:c>
    </x:row>
    <x:row r="68" ht="25" customHeight="1">
      <x:c r="A68" s="15" t="n">
        <x:v>2021</x:v>
      </x:c>
      <x:c r="B68" s="15" t="str">
        <x:v>北京市</x:v>
      </x:c>
      <x:c r="C68" s="15" t="str">
        <x:v>小学招生数 vs 小学一年级在校生</x:v>
      </x:c>
      <x:c r="D68" s="17" t="n">
        <x:v>186440</x:v>
      </x:c>
      <x:c r="E68" s="17" t="n">
        <x:v>186551</x:v>
      </x:c>
      <x:c r="F68" s="17" t="n">
        <x:v>-111</x:v>
      </x:c>
      <x:c r="G68" s="18" t="n">
        <x:f>ABS(F68)/D68</x:f>
        <x:v>0.0005953658013301866</x:v>
      </x:c>
    </x:row>
    <x:row r="69" ht="25" customHeight="1">
      <x:c r="A69" s="15" t="n">
        <x:v>2021</x:v>
      </x:c>
      <x:c r="B69" s="15" t="str">
        <x:v>北京市</x:v>
      </x:c>
      <x:c r="C69" s="15" t="str">
        <x:v>初中招生数 vs 初中一年级在校生</x:v>
      </x:c>
      <x:c r="D69" s="17" t="n">
        <x:v>120431</x:v>
      </x:c>
      <x:c r="E69" s="17" t="n">
        <x:v>120702</x:v>
      </x:c>
      <x:c r="F69" s="17" t="n">
        <x:v>-271</x:v>
      </x:c>
      <x:c r="G69" s="18" t="n">
        <x:f>ABS(F69)/D69</x:f>
        <x:v>0.002250251181174282</x:v>
      </x:c>
    </x:row>
    <x:row r="70" ht="25" customHeight="1">
      <x:c r="A70" s="15" t="n">
        <x:v>2021</x:v>
      </x:c>
      <x:c r="B70" s="15" t="str">
        <x:v>北京市</x:v>
      </x:c>
      <x:c r="C70" s="15" t="str">
        <x:v>高中招生数 vs 高中一年级在校生</x:v>
      </x:c>
      <x:c r="D70" s="17" t="n">
        <x:v>62263</x:v>
      </x:c>
      <x:c r="E70" s="17" t="n">
        <x:v>62771</x:v>
      </x:c>
      <x:c r="F70" s="17" t="n">
        <x:v>-508</x:v>
      </x:c>
      <x:c r="G70" s="18" t="n">
        <x:f>ABS(F70)/D70</x:f>
        <x:v>0.008158938695533463</x:v>
      </x:c>
    </x:row>
    <x:row r="71" ht="25" customHeight="1">
      <x:c r="A71" s="15" t="n">
        <x:v>2021</x:v>
      </x:c>
      <x:c r="B71" s="15" t="str">
        <x:v>西城区</x:v>
      </x:c>
      <x:c r="C71" s="15" t="str">
        <x:v>小学招生数 vs 小学一年级在校生</x:v>
      </x:c>
      <x:c r="D71" s="17" t="n">
        <x:v>21357</x:v>
      </x:c>
      <x:c r="E71" s="17" t="n">
        <x:v>21375</x:v>
      </x:c>
      <x:c r="F71" s="17" t="n">
        <x:v>-18</x:v>
      </x:c>
      <x:c r="G71" s="18" t="n">
        <x:f>ABS(F71)/D71</x:f>
        <x:v>0.0008428150021070375</x:v>
      </x:c>
    </x:row>
    <x:row r="72" ht="25" customHeight="1">
      <x:c r="A72" s="15" t="n">
        <x:v>2021</x:v>
      </x:c>
      <x:c r="B72" s="15" t="str">
        <x:v>西城区</x:v>
      </x:c>
      <x:c r="C72" s="15" t="str">
        <x:v>初中招生数 vs 初中一年级在校生</x:v>
      </x:c>
      <x:c r="D72" s="17" t="n">
        <x:v>13595</x:v>
      </x:c>
      <x:c r="E72" s="17" t="n">
        <x:v>13635</x:v>
      </x:c>
      <x:c r="F72" s="17" t="n">
        <x:v>-40</x:v>
      </x:c>
      <x:c r="G72" s="18" t="n">
        <x:f>ABS(F72)/D72</x:f>
        <x:v>0.002942258183155572</x:v>
      </x:c>
    </x:row>
    <x:row r="73" ht="25" customHeight="1">
      <x:c r="A73" s="15" t="n">
        <x:v>2021</x:v>
      </x:c>
      <x:c r="B73" s="15" t="str">
        <x:v>西城区</x:v>
      </x:c>
      <x:c r="C73" s="15" t="str">
        <x:v>高中招生数 vs 高中一年级在校生</x:v>
      </x:c>
      <x:c r="D73" s="17" t="n">
        <x:v>8074</x:v>
      </x:c>
      <x:c r="E73" s="17" t="n">
        <x:v>8165</x:v>
      </x:c>
      <x:c r="F73" s="17" t="n">
        <x:v>-91</x:v>
      </x:c>
      <x:c r="G73" s="18" t="n">
        <x:f>ABS(F73)/D73</x:f>
        <x:v>0.011270745603170672</x:v>
      </x:c>
    </x:row>
    <x:row r="74" ht="25" customHeight="1">
      <x:c r="A74" s="15" t="n">
        <x:v>2021</x:v>
      </x:c>
      <x:c r="B74" s="15" t="str">
        <x:v>朝阳区</x:v>
      </x:c>
      <x:c r="C74" s="15" t="str">
        <x:v>小学招生数 vs 小学一年级在校生</x:v>
      </x:c>
      <x:c r="D74" s="17" t="n">
        <x:v>28970</x:v>
      </x:c>
      <x:c r="E74" s="17" t="n">
        <x:v>28981</x:v>
      </x:c>
      <x:c r="F74" s="17" t="n">
        <x:v>-11</x:v>
      </x:c>
      <x:c r="G74" s="18" t="n">
        <x:f>ABS(F74)/D74</x:f>
        <x:v>0.0003797031411805316</x:v>
      </x:c>
    </x:row>
    <x:row r="75" ht="25" customHeight="1">
      <x:c r="A75" s="15" t="n">
        <x:v>2021</x:v>
      </x:c>
      <x:c r="B75" s="15" t="str">
        <x:v>朝阳区</x:v>
      </x:c>
      <x:c r="C75" s="15" t="str">
        <x:v>初中招生数 vs 初中一年级在校生</x:v>
      </x:c>
      <x:c r="D75" s="17" t="n">
        <x:v>17501</x:v>
      </x:c>
      <x:c r="E75" s="17" t="n">
        <x:v>17544</x:v>
      </x:c>
      <x:c r="F75" s="17" t="n">
        <x:v>-43</x:v>
      </x:c>
      <x:c r="G75" s="18" t="n">
        <x:f>ABS(F75)/D75</x:f>
        <x:v>0.002457002457002457</x:v>
      </x:c>
    </x:row>
    <x:row r="76" ht="25" customHeight="1">
      <x:c r="A76" s="15" t="n">
        <x:v>2021</x:v>
      </x:c>
      <x:c r="B76" s="15" t="str">
        <x:v>朝阳区</x:v>
      </x:c>
      <x:c r="C76" s="15" t="str">
        <x:v>高中招生数 vs 高中一年级在校生</x:v>
      </x:c>
      <x:c r="D76" s="17" t="n">
        <x:v>5916</x:v>
      </x:c>
      <x:c r="E76" s="17" t="n">
        <x:v>5950</x:v>
      </x:c>
      <x:c r="F76" s="17" t="n">
        <x:v>-34</x:v>
      </x:c>
      <x:c r="G76" s="18" t="n">
        <x:f>ABS(F76)/D76</x:f>
        <x:v>0.005747126436781609</x:v>
      </x:c>
    </x:row>
    <x:row r="77" ht="25" customHeight="1">
      <x:c r="A77" s="15" t="n">
        <x:v>2022</x:v>
      </x:c>
      <x:c r="B77" s="15" t="str">
        <x:v>北京市</x:v>
      </x:c>
      <x:c r="C77" s="15" t="str">
        <x:v>小学招生数 vs 小学一年级在校生</x:v>
      </x:c>
      <x:c r="D77" s="17" t="n">
        <x:v>189935</x:v>
      </x:c>
      <x:c r="E77" s="17" t="n">
        <x:v>189971</x:v>
      </x:c>
      <x:c r="F77" s="17" t="n">
        <x:v>-36</x:v>
      </x:c>
      <x:c r="G77" s="18" t="n">
        <x:f>ABS(F77)/D77</x:f>
        <x:v>0.00018953852633795773</x:v>
      </x:c>
    </x:row>
    <x:row r="78" ht="25" customHeight="1">
      <x:c r="A78" s="15" t="n">
        <x:v>2022</x:v>
      </x:c>
      <x:c r="B78" s="15" t="str">
        <x:v>北京市</x:v>
      </x:c>
      <x:c r="C78" s="15" t="str">
        <x:v>初中招生数 vs 初中一年级在校生</x:v>
      </x:c>
      <x:c r="D78" s="17" t="n">
        <x:v>121270</x:v>
      </x:c>
      <x:c r="E78" s="17" t="n">
        <x:v>121324</x:v>
      </x:c>
      <x:c r="F78" s="17" t="n">
        <x:v>-54</x:v>
      </x:c>
      <x:c r="G78" s="18" t="n">
        <x:f>ABS(F78)/D78</x:f>
        <x:v>0.00044528737527830463</x:v>
      </x:c>
    </x:row>
    <x:row r="79" ht="25" customHeight="1">
      <x:c r="A79" s="15" t="n">
        <x:v>2022</x:v>
      </x:c>
      <x:c r="B79" s="15" t="str">
        <x:v>北京市</x:v>
      </x:c>
      <x:c r="C79" s="15" t="str">
        <x:v>高中招生数 vs 高中一年级在校生</x:v>
      </x:c>
      <x:c r="D79" s="17" t="n">
        <x:v>74681</x:v>
      </x:c>
      <x:c r="E79" s="17" t="n">
        <x:v>75141</x:v>
      </x:c>
      <x:c r="F79" s="17" t="n">
        <x:v>-460</x:v>
      </x:c>
      <x:c r="G79" s="18" t="n">
        <x:f>ABS(F79)/D79</x:f>
        <x:v>0.006159531875577456</x:v>
      </x:c>
    </x:row>
    <x:row r="80" ht="25" customHeight="1">
      <x:c r="A80" s="15" t="n">
        <x:v>2022</x:v>
      </x:c>
      <x:c r="B80" s="15" t="str">
        <x:v>西城区</x:v>
      </x:c>
      <x:c r="C80" s="15" t="str">
        <x:v>小学招生数 vs 小学一年级在校生</x:v>
      </x:c>
      <x:c r="D80" s="17" t="n">
        <x:v>20420</x:v>
      </x:c>
      <x:c r="E80" s="17" t="n">
        <x:v>20428</x:v>
      </x:c>
      <x:c r="F80" s="17" t="n">
        <x:v>-8</x:v>
      </x:c>
      <x:c r="G80" s="18" t="n">
        <x:f>ABS(F80)/D80</x:f>
        <x:v>0.0003917727717923604</x:v>
      </x:c>
    </x:row>
    <x:row r="81" ht="25" customHeight="1">
      <x:c r="A81" s="15" t="n">
        <x:v>2022</x:v>
      </x:c>
      <x:c r="B81" s="15" t="str">
        <x:v>西城区</x:v>
      </x:c>
      <x:c r="C81" s="15" t="str">
        <x:v>初中招生数 vs 初中一年级在校生</x:v>
      </x:c>
      <x:c r="D81" s="17" t="n">
        <x:v>14353</x:v>
      </x:c>
      <x:c r="E81" s="17" t="n">
        <x:v>14377</x:v>
      </x:c>
      <x:c r="F81" s="17" t="n">
        <x:v>-24</x:v>
      </x:c>
      <x:c r="G81" s="18" t="n">
        <x:f>ABS(F81)/D81</x:f>
        <x:v>0.0016721242945725633</x:v>
      </x:c>
    </x:row>
    <x:row r="82" ht="25" customHeight="1">
      <x:c r="A82" s="15" t="n">
        <x:v>2022</x:v>
      </x:c>
      <x:c r="B82" s="15" t="str">
        <x:v>西城区</x:v>
      </x:c>
      <x:c r="C82" s="15" t="str">
        <x:v>高中招生数 vs 高中一年级在校生</x:v>
      </x:c>
      <x:c r="D82" s="17" t="n">
        <x:v>10250</x:v>
      </x:c>
      <x:c r="E82" s="17" t="n">
        <x:v>10333</x:v>
      </x:c>
      <x:c r="F82" s="17" t="n">
        <x:v>-83</x:v>
      </x:c>
      <x:c r="G82" s="18" t="n">
        <x:f>ABS(F82)/D82</x:f>
        <x:v>0.008097560975609756</x:v>
      </x:c>
    </x:row>
    <x:row r="83" ht="25" customHeight="1">
      <x:c r="A83" s="15" t="n">
        <x:v>2022</x:v>
      </x:c>
      <x:c r="B83" s="15" t="str">
        <x:v>朝阳区</x:v>
      </x:c>
      <x:c r="C83" s="15" t="str">
        <x:v>小学招生数 vs 小学一年级在校生</x:v>
      </x:c>
      <x:c r="D83" s="17" t="n">
        <x:v>27675</x:v>
      </x:c>
      <x:c r="E83" s="17" t="n">
        <x:v>27680</x:v>
      </x:c>
      <x:c r="F83" s="17" t="n">
        <x:v>-5</x:v>
      </x:c>
      <x:c r="G83" s="18" t="n">
        <x:f>ABS(F83)/D83</x:f>
        <x:v>0.0001806684733514002</x:v>
      </x:c>
    </x:row>
    <x:row r="84" ht="25" customHeight="1">
      <x:c r="A84" s="15" t="n">
        <x:v>2022</x:v>
      </x:c>
      <x:c r="B84" s="15" t="str">
        <x:v>朝阳区</x:v>
      </x:c>
      <x:c r="C84" s="15" t="str">
        <x:v>初中招生数 vs 初中一年级在校生</x:v>
      </x:c>
      <x:c r="D84" s="17" t="n">
        <x:v>17662</x:v>
      </x:c>
      <x:c r="E84" s="17" t="n">
        <x:v>17679</x:v>
      </x:c>
      <x:c r="F84" s="17" t="n">
        <x:v>-17</x:v>
      </x:c>
      <x:c r="G84" s="18" t="n">
        <x:f>ABS(F84)/D84</x:f>
        <x:v>0.0009625184010870796</x:v>
      </x:c>
    </x:row>
    <x:row r="85" ht="25" customHeight="1">
      <x:c r="A85" s="15" t="n">
        <x:v>2022</x:v>
      </x:c>
      <x:c r="B85" s="15" t="str">
        <x:v>朝阳区</x:v>
      </x:c>
      <x:c r="C85" s="15" t="str">
        <x:v>高中招生数 vs 高中一年级在校生</x:v>
      </x:c>
      <x:c r="D85" s="17" t="n">
        <x:v>7910</x:v>
      </x:c>
      <x:c r="E85" s="17" t="n">
        <x:v>7933</x:v>
      </x:c>
      <x:c r="F85" s="17" t="n">
        <x:v>-23</x:v>
      </x:c>
      <x:c r="G85" s="18" t="n">
        <x:f>ABS(F85)/D85</x:f>
        <x:v>0.0029077117572692793</x:v>
      </x:c>
    </x:row>
    <x:row r="86" ht="25" customHeight="1">
      <x:c r="A86" s="15" t="n">
        <x:v>2023</x:v>
      </x:c>
      <x:c r="B86" s="15" t="str">
        <x:v>北京市</x:v>
      </x:c>
      <x:c r="C86" s="15" t="str">
        <x:v>小学招生数 vs 小学一年级在校生</x:v>
      </x:c>
      <x:c r="D86" s="17" t="n">
        <x:v>235253</x:v>
      </x:c>
      <x:c r="E86" s="17" t="n">
        <x:v>235371</x:v>
      </x:c>
      <x:c r="F86" s="17" t="n">
        <x:v>-118</x:v>
      </x:c>
      <x:c r="G86" s="18" t="n">
        <x:f>ABS(F86)/D86</x:f>
        <x:v>0.0005015876524422643</x:v>
      </x:c>
    </x:row>
    <x:row r="87" ht="25" customHeight="1">
      <x:c r="A87" s="15" t="n">
        <x:v>2023</x:v>
      </x:c>
      <x:c r="B87" s="15" t="str">
        <x:v>北京市</x:v>
      </x:c>
      <x:c r="C87" s="15" t="str">
        <x:v>初中招生数 vs 初中一年级在校生</x:v>
      </x:c>
      <x:c r="D87" s="17" t="n">
        <x:v>134985</x:v>
      </x:c>
      <x:c r="E87" s="17" t="n">
        <x:v>135154</x:v>
      </x:c>
      <x:c r="F87" s="17" t="n">
        <x:v>-169</x:v>
      </x:c>
      <x:c r="G87" s="18" t="n">
        <x:f>ABS(F87)/D87</x:f>
        <x:v>0.0012519909619587361</x:v>
      </x:c>
    </x:row>
    <x:row r="88" ht="25" customHeight="1">
      <x:c r="A88" s="15" t="n">
        <x:v>2023</x:v>
      </x:c>
      <x:c r="B88" s="15" t="str">
        <x:v>北京市</x:v>
      </x:c>
      <x:c r="C88" s="15" t="str">
        <x:v>高中招生数 vs 高中一年级在校生</x:v>
      </x:c>
      <x:c r="D88" s="17" t="n">
        <x:v>79716</x:v>
      </x:c>
      <x:c r="E88" s="17" t="n">
        <x:v>80253</x:v>
      </x:c>
      <x:c r="F88" s="17" t="n">
        <x:v>-537</x:v>
      </x:c>
      <x:c r="G88" s="18" t="n">
        <x:f>ABS(F88)/D88</x:f>
        <x:v>0.006736414270660846</x:v>
      </x:c>
    </x:row>
    <x:row r="89" ht="25" customHeight="1">
      <x:c r="A89" s="15" t="n">
        <x:v>2023</x:v>
      </x:c>
      <x:c r="B89" s="15" t="str">
        <x:v>西城区</x:v>
      </x:c>
      <x:c r="C89" s="15" t="str">
        <x:v>小学招生数 vs 小学一年级在校生</x:v>
      </x:c>
      <x:c r="D89" s="17" t="n">
        <x:v>24400</x:v>
      </x:c>
      <x:c r="E89" s="17" t="n">
        <x:v>24406</x:v>
      </x:c>
      <x:c r="F89" s="17" t="n">
        <x:v>-6</x:v>
      </x:c>
      <x:c r="G89" s="18" t="n">
        <x:f>ABS(F89)/D89</x:f>
        <x:v>0.0002459016393442623</x:v>
      </x:c>
    </x:row>
    <x:row r="90" ht="25" customHeight="1">
      <x:c r="A90" s="15" t="n">
        <x:v>2023</x:v>
      </x:c>
      <x:c r="B90" s="15" t="str">
        <x:v>西城区</x:v>
      </x:c>
      <x:c r="C90" s="15" t="str">
        <x:v>初中招生数 vs 初中一年级在校生</x:v>
      </x:c>
      <x:c r="D90" s="17" t="n">
        <x:v>16018</x:v>
      </x:c>
      <x:c r="E90" s="17" t="n">
        <x:v>16053</x:v>
      </x:c>
      <x:c r="F90" s="17" t="n">
        <x:v>-35</x:v>
      </x:c>
      <x:c r="G90" s="18" t="n">
        <x:f>ABS(F90)/D90</x:f>
        <x:v>0.0021850418279435635</x:v>
      </x:c>
    </x:row>
    <x:row r="91" ht="25" customHeight="1">
      <x:c r="A91" s="15" t="n">
        <x:v>2023</x:v>
      </x:c>
      <x:c r="B91" s="15" t="str">
        <x:v>西城区</x:v>
      </x:c>
      <x:c r="C91" s="15" t="str">
        <x:v>高中招生数 vs 高中一年级在校生</x:v>
      </x:c>
      <x:c r="D91" s="17" t="n">
        <x:v>10438</x:v>
      </x:c>
      <x:c r="E91" s="17" t="n">
        <x:v>10544</x:v>
      </x:c>
      <x:c r="F91" s="17" t="n">
        <x:v>-106</x:v>
      </x:c>
      <x:c r="G91" s="18" t="n">
        <x:f>ABS(F91)/D91</x:f>
        <x:v>0.010155202146004981</x:v>
      </x:c>
    </x:row>
    <x:row r="92" ht="25" customHeight="1">
      <x:c r="A92" s="15" t="n">
        <x:v>2023</x:v>
      </x:c>
      <x:c r="B92" s="15" t="str">
        <x:v>朝阳区</x:v>
      </x:c>
      <x:c r="C92" s="15" t="str">
        <x:v>小学招生数 vs 小学一年级在校生</x:v>
      </x:c>
      <x:c r="D92" s="17" t="n">
        <x:v>33102</x:v>
      </x:c>
      <x:c r="E92" s="17" t="n">
        <x:v>33112</x:v>
      </x:c>
      <x:c r="F92" s="17" t="n">
        <x:v>-10</x:v>
      </x:c>
      <x:c r="G92" s="18" t="n">
        <x:f>ABS(F92)/D92</x:f>
        <x:v>0.00030209655005739835</x:v>
      </x:c>
    </x:row>
    <x:row r="93" ht="25" customHeight="1">
      <x:c r="A93" s="15" t="n">
        <x:v>2023</x:v>
      </x:c>
      <x:c r="B93" s="15" t="str">
        <x:v>朝阳区</x:v>
      </x:c>
      <x:c r="C93" s="15" t="str">
        <x:v>初中招生数 vs 初中一年级在校生</x:v>
      </x:c>
      <x:c r="D93" s="17" t="n">
        <x:v>19986</x:v>
      </x:c>
      <x:c r="E93" s="17" t="n">
        <x:v>20025</x:v>
      </x:c>
      <x:c r="F93" s="17" t="n">
        <x:v>-39</x:v>
      </x:c>
      <x:c r="G93" s="18" t="n">
        <x:f>ABS(F93)/D93</x:f>
        <x:v>0.0019513659561693185</x:v>
      </x:c>
    </x:row>
    <x:row r="94" ht="25" customHeight="1">
      <x:c r="A94" s="15" t="n">
        <x:v>2023</x:v>
      </x:c>
      <x:c r="B94" s="15" t="str">
        <x:v>朝阳区</x:v>
      </x:c>
      <x:c r="C94" s="15" t="str">
        <x:v>高中招生数 vs 高中一年级在校生</x:v>
      </x:c>
      <x:c r="D94" s="17" t="n">
        <x:v>9491</x:v>
      </x:c>
      <x:c r="E94" s="17" t="n">
        <x:v>9529</x:v>
      </x:c>
      <x:c r="F94" s="17" t="n">
        <x:v>-38</x:v>
      </x:c>
      <x:c r="G94" s="18" t="n">
        <x:f>ABS(F94)/D94</x:f>
        <x:v>0.004003793067116216</x:v>
      </x:c>
    </x:row>
    <x:row r="95" ht="25" customHeight="1">
      <x:c r="A95" s="15" t="n">
        <x:v>2024</x:v>
      </x:c>
      <x:c r="B95" s="15" t="str">
        <x:v>北京市</x:v>
      </x:c>
      <x:c r="C95" s="15" t="str">
        <x:v>小学招生数 vs 小学一年级在校生</x:v>
      </x:c>
      <x:c r="D95" s="17" t="n">
        <x:v>192706</x:v>
      </x:c>
      <x:c r="E95" s="17" t="n">
        <x:v>192957</x:v>
      </x:c>
      <x:c r="F95" s="17" t="n">
        <x:v>-251</x:v>
      </x:c>
      <x:c r="G95" s="18" t="n">
        <x:f>ABS(F95)/D95</x:f>
        <x:v>0.0013025022573246291</x:v>
      </x:c>
    </x:row>
    <x:row r="96" ht="25" customHeight="1">
      <x:c r="A96" s="15" t="n">
        <x:v>2024</x:v>
      </x:c>
      <x:c r="B96" s="15" t="str">
        <x:v>北京市</x:v>
      </x:c>
      <x:c r="C96" s="15" t="str">
        <x:v>初中招生数 vs 初中一年级在校生</x:v>
      </x:c>
      <x:c r="D96" s="17" t="n">
        <x:v>161338</x:v>
      </x:c>
      <x:c r="E96" s="17" t="n">
        <x:v>161522</x:v>
      </x:c>
      <x:c r="F96" s="17" t="n">
        <x:v>-184</x:v>
      </x:c>
      <x:c r="G96" s="18" t="n">
        <x:f>ABS(F96)/D96</x:f>
        <x:v>0.0011404628791729164</x:v>
      </x:c>
    </x:row>
    <x:row r="97" ht="25" customHeight="1">
      <x:c r="A97" s="15" t="n">
        <x:v>2024</x:v>
      </x:c>
      <x:c r="B97" s="15" t="str">
        <x:v>北京市</x:v>
      </x:c>
      <x:c r="C97" s="15" t="str">
        <x:v>高中招生数 vs 高中一年级在校生</x:v>
      </x:c>
      <x:c r="D97" s="17" t="n">
        <x:v>82137</x:v>
      </x:c>
      <x:c r="E97" s="17" t="n">
        <x:v>82853</x:v>
      </x:c>
      <x:c r="F97" s="17" t="n">
        <x:v>-716</x:v>
      </x:c>
      <x:c r="G97" s="18" t="n">
        <x:f>ABS(F97)/D97</x:f>
        <x:v>0.008717143309349015</x:v>
      </x:c>
    </x:row>
    <x:row r="98" ht="25" customHeight="1">
      <x:c r="A98" s="15" t="n">
        <x:v>2024</x:v>
      </x:c>
      <x:c r="B98" s="15" t="str">
        <x:v>西城区</x:v>
      </x:c>
      <x:c r="C98" s="15" t="str">
        <x:v>小学招生数 vs 小学一年级在校生</x:v>
      </x:c>
      <x:c r="D98" s="17" t="n">
        <x:v>19539</x:v>
      </x:c>
      <x:c r="E98" s="17" t="n">
        <x:v>19544</x:v>
      </x:c>
      <x:c r="F98" s="17" t="n">
        <x:v>-5</x:v>
      </x:c>
      <x:c r="G98" s="18" t="n">
        <x:f>ABS(F98)/D98</x:f>
        <x:v>0.00025589845949127387</x:v>
      </x:c>
    </x:row>
    <x:row r="99" ht="25" customHeight="1">
      <x:c r="A99" s="15" t="n">
        <x:v>2024</x:v>
      </x:c>
      <x:c r="B99" s="15" t="str">
        <x:v>西城区</x:v>
      </x:c>
      <x:c r="C99" s="15" t="str">
        <x:v>初中招生数 vs 初中一年级在校生</x:v>
      </x:c>
      <x:c r="D99" s="17" t="n">
        <x:v>19721</x:v>
      </x:c>
      <x:c r="E99" s="17" t="n">
        <x:v>19780</x:v>
      </x:c>
      <x:c r="F99" s="17" t="n">
        <x:v>-59</x:v>
      </x:c>
      <x:c r="G99" s="18" t="n">
        <x:f>ABS(F99)/D99</x:f>
        <x:v>0.0029917346990517724</x:v>
      </x:c>
    </x:row>
    <x:row r="100" ht="25" customHeight="1">
      <x:c r="A100" s="15" t="n">
        <x:v>2024</x:v>
      </x:c>
      <x:c r="B100" s="15" t="str">
        <x:v>西城区</x:v>
      </x:c>
      <x:c r="C100" s="15" t="str">
        <x:v>高中招生数 vs 高中一年级在校生</x:v>
      </x:c>
      <x:c r="D100" s="17" t="n">
        <x:v>10887</x:v>
      </x:c>
      <x:c r="E100" s="17" t="n">
        <x:v>11019</x:v>
      </x:c>
      <x:c r="F100" s="17" t="n">
        <x:v>-132</x:v>
      </x:c>
      <x:c r="G100" s="18" t="n">
        <x:f>ABS(F100)/D100</x:f>
        <x:v>0.01212455221824194</x:v>
      </x:c>
    </x:row>
    <x:row r="101" ht="25" customHeight="1">
      <x:c r="A101" s="15" t="n">
        <x:v>2024</x:v>
      </x:c>
      <x:c r="B101" s="15" t="str">
        <x:v>朝阳区</x:v>
      </x:c>
      <x:c r="C101" s="15" t="str">
        <x:v>小学招生数 vs 小学一年级在校生</x:v>
      </x:c>
      <x:c r="D101" s="17" t="n">
        <x:v>26492</x:v>
      </x:c>
      <x:c r="E101" s="17" t="n">
        <x:v>26500</x:v>
      </x:c>
      <x:c r="F101" s="17" t="n">
        <x:v>-8</x:v>
      </x:c>
      <x:c r="G101" s="18" t="n">
        <x:f>ABS(F101)/D101</x:f>
        <x:v>0.00030197795560924054</x:v>
      </x:c>
    </x:row>
    <x:row r="102" ht="25" customHeight="1">
      <x:c r="A102" s="15" t="n">
        <x:v>2024</x:v>
      </x:c>
      <x:c r="B102" s="15" t="str">
        <x:v>朝阳区</x:v>
      </x:c>
      <x:c r="C102" s="15" t="str">
        <x:v>初中招生数 vs 初中一年级在校生</x:v>
      </x:c>
      <x:c r="D102" s="17" t="n">
        <x:v>23767</x:v>
      </x:c>
      <x:c r="E102" s="17" t="n">
        <x:v>23786</x:v>
      </x:c>
      <x:c r="F102" s="17" t="n">
        <x:v>-19</x:v>
      </x:c>
      <x:c r="G102" s="18" t="n">
        <x:f>ABS(F102)/D102</x:f>
        <x:v>0.0007994277780115286</x:v>
      </x:c>
    </x:row>
    <x:row r="103" ht="25" customHeight="1">
      <x:c r="A103" s="15" t="n">
        <x:v>2024</x:v>
      </x:c>
      <x:c r="B103" s="15" t="str">
        <x:v>朝阳区</x:v>
      </x:c>
      <x:c r="C103" s="15" t="str">
        <x:v>高中招生数 vs 高中一年级在校生</x:v>
      </x:c>
      <x:c r="D103" s="17" t="n">
        <x:v>10026</x:v>
      </x:c>
      <x:c r="E103" s="17" t="n">
        <x:v>10099</x:v>
      </x:c>
      <x:c r="F103" s="17" t="n">
        <x:v>-73</x:v>
      </x:c>
      <x:c r="G103" s="18" t="n">
        <x:f>ABS(F103)/D103</x:f>
        <x:v>0.0072810692200279276</x:v>
      </x:c>
    </x:row>
    <x:row r="104" ht="25" customHeight="1">
      <x:c r="A104" s="15" t="n">
        <x:v>2025</x:v>
      </x:c>
      <x:c r="B104" s="15" t="str">
        <x:v>北京市</x:v>
      </x:c>
      <x:c r="C104" s="15" t="str">
        <x:v>小学招生数 vs 小学一年级在校生</x:v>
      </x:c>
      <x:c r="D104" s="17" t="n">
        <x:v>183445</x:v>
      </x:c>
      <x:c r="E104" s="17" t="n">
        <x:v>183484</x:v>
      </x:c>
      <x:c r="F104" s="17" t="n">
        <x:v>-39</x:v>
      </x:c>
      <x:c r="G104" s="18" t="n">
        <x:f>ABS(F104)/D104</x:f>
        <x:v>0.00021259778135135872</x:v>
      </x:c>
    </x:row>
    <x:row r="105" ht="25" customHeight="1">
      <x:c r="A105" s="15" t="n">
        <x:v>2025</x:v>
      </x:c>
      <x:c r="B105" s="15" t="str">
        <x:v>北京市</x:v>
      </x:c>
      <x:c r="C105" s="15" t="str">
        <x:v>初中招生数 vs 初中一年级在校生</x:v>
      </x:c>
      <x:c r="D105" s="17" t="n">
        <x:v>162349</x:v>
      </x:c>
      <x:c r="E105" s="17" t="n">
        <x:v>162502</x:v>
      </x:c>
      <x:c r="F105" s="17" t="n">
        <x:v>-153</x:v>
      </x:c>
      <x:c r="G105" s="18" t="n">
        <x:f>ABS(F105)/D105</x:f>
        <x:v>0.0009424141817935436</x:v>
      </x:c>
    </x:row>
    <x:row r="106" ht="25" customHeight="1">
      <x:c r="A106" s="15" t="n">
        <x:v>2025</x:v>
      </x:c>
      <x:c r="B106" s="15" t="str">
        <x:v>北京市</x:v>
      </x:c>
      <x:c r="C106" s="15" t="str">
        <x:v>高中招生数 vs 高中一年级在校生</x:v>
      </x:c>
      <x:c r="D106" s="17" t="n">
        <x:v>84275</x:v>
      </x:c>
      <x:c r="E106" s="17" t="n">
        <x:v>84940</x:v>
      </x:c>
      <x:c r="F106" s="17" t="n">
        <x:v>-665</x:v>
      </x:c>
      <x:c r="G106" s="18" t="n">
        <x:f>ABS(F106)/D106</x:f>
        <x:v>0.007890833580539899</x:v>
      </x:c>
    </x:row>
    <x:row r="107" ht="25" customHeight="1">
      <x:c r="A107" s="15" t="n">
        <x:v>2025</x:v>
      </x:c>
      <x:c r="B107" s="15" t="str">
        <x:v>西城区</x:v>
      </x:c>
      <x:c r="C107" s="15" t="str">
        <x:v>小学招生数 vs 小学一年级在校生</x:v>
      </x:c>
      <x:c r="D107" s="17" t="n">
        <x:v>18435</x:v>
      </x:c>
      <x:c r="E107" s="17" t="n">
        <x:v>18443</x:v>
      </x:c>
      <x:c r="F107" s="17" t="n">
        <x:v>-8</x:v>
      </x:c>
      <x:c r="G107" s="18" t="n">
        <x:f>ABS(F107)/D107</x:f>
        <x:v>0.0004339571467317602</x:v>
      </x:c>
    </x:row>
    <x:row r="108" ht="25" customHeight="1">
      <x:c r="A108" s="15" t="n">
        <x:v>2025</x:v>
      </x:c>
      <x:c r="B108" s="15" t="str">
        <x:v>西城区</x:v>
      </x:c>
      <x:c r="C108" s="15" t="str">
        <x:v>初中招生数 vs 初中一年级在校生</x:v>
      </x:c>
      <x:c r="D108" s="17" t="n">
        <x:v>20106</x:v>
      </x:c>
      <x:c r="E108" s="17" t="n">
        <x:v>20187</x:v>
      </x:c>
      <x:c r="F108" s="17" t="n">
        <x:v>-81</x:v>
      </x:c>
      <x:c r="G108" s="18" t="n">
        <x:f>ABS(F108)/D108</x:f>
        <x:v>0.0040286481647269475</x:v>
      </x:c>
    </x:row>
    <x:row r="109" ht="25" customHeight="1">
      <x:c r="A109" s="15" t="n">
        <x:v>2025</x:v>
      </x:c>
      <x:c r="B109" s="15" t="str">
        <x:v>西城区</x:v>
      </x:c>
      <x:c r="C109" s="15" t="str">
        <x:v>高中招生数 vs 高中一年级在校生</x:v>
      </x:c>
      <x:c r="D109" s="17" t="n">
        <x:v>11626</x:v>
      </x:c>
      <x:c r="E109" s="17" t="n">
        <x:v>11747</x:v>
      </x:c>
      <x:c r="F109" s="17" t="n">
        <x:v>-121</x:v>
      </x:c>
      <x:c r="G109" s="18" t="n">
        <x:f>ABS(F109)/D109</x:f>
        <x:v>0.010407706863925684</x:v>
      </x:c>
    </x:row>
    <x:row r="110" ht="25" customHeight="1">
      <x:c r="A110" s="15" t="n">
        <x:v>2025</x:v>
      </x:c>
      <x:c r="B110" s="15" t="str">
        <x:v>朝阳区</x:v>
      </x:c>
      <x:c r="C110" s="15" t="str">
        <x:v>小学招生数 vs 小学一年级在校生</x:v>
      </x:c>
      <x:c r="D110" s="17" t="n">
        <x:v>25907</x:v>
      </x:c>
      <x:c r="E110" s="17" t="n">
        <x:v>25910</x:v>
      </x:c>
      <x:c r="F110" s="17" t="n">
        <x:v>-3</x:v>
      </x:c>
      <x:c r="G110" s="18" t="n">
        <x:f>ABS(F110)/D110</x:f>
        <x:v>0.00011579881885204771</x:v>
      </x:c>
    </x:row>
    <x:row r="111" ht="25" customHeight="1">
      <x:c r="A111" s="15" t="n">
        <x:v>2025</x:v>
      </x:c>
      <x:c r="B111" s="15" t="str">
        <x:v>朝阳区</x:v>
      </x:c>
      <x:c r="C111" s="15" t="str">
        <x:v>初中招生数 vs 初中一年级在校生</x:v>
      </x:c>
      <x:c r="D111" s="17" t="n">
        <x:v>24371</x:v>
      </x:c>
      <x:c r="E111" s="17" t="n">
        <x:v>24398</x:v>
      </x:c>
      <x:c r="F111" s="17" t="n">
        <x:v>-27</x:v>
      </x:c>
      <x:c r="G111" s="18" t="n">
        <x:f>ABS(F111)/D111</x:f>
        <x:v>0.0011078741126749005</x:v>
      </x:c>
    </x:row>
    <x:row r="112" ht="25" customHeight="1">
      <x:c r="A112" s="15" t="n">
        <x:v>2025</x:v>
      </x:c>
      <x:c r="B112" s="15" t="str">
        <x:v>朝阳区</x:v>
      </x:c>
      <x:c r="C112" s="15" t="str">
        <x:v>高中招生数 vs 高中一年级在校生</x:v>
      </x:c>
      <x:c r="D112" s="17" t="n">
        <x:v>10202</x:v>
      </x:c>
      <x:c r="E112" s="17" t="n">
        <x:v>10268</x:v>
      </x:c>
      <x:c r="F112" s="17" t="n">
        <x:v>-66</x:v>
      </x:c>
      <x:c r="G112" s="18" t="n">
        <x:f>ABS(F112)/D112</x:f>
        <x:v>0.00646931974122721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52" hidden="0" customWidth="1"/>
  </x:cols>
  <x:sheetData>
    <x:row r="1" ht="34" customHeight="1">
      <x:c r="A1" s="3" t="str">
        <x:v>市教委精确数 vs 市统计局公报约数</x:v>
      </x:c>
      <x:c r="B1" s="3"/>
      <x:c r="C1" s="3"/>
      <x:c r="D1" s="3"/>
      <x:c r="E1" s="3"/>
      <x:c r="F1" s="3"/>
      <x:c r="G1" s="3"/>
    </x:row>
    <x:row r="2" ht="28" customHeight="1">
      <x:c r="A2" s="7" t="str">
        <x:v>统计公报以0.1万人发布；差值绝对值不超过500人即符合四舍五入预期。</x:v>
      </x:c>
      <x:c r="B2" s="7"/>
      <x:c r="C2" s="7"/>
      <x:c r="D2" s="7"/>
      <x:c r="E2" s="7"/>
      <x:c r="F2" s="7"/>
      <x:c r="G2" s="7"/>
    </x:row>
    <x:row r="4" ht="24" customHeight="1">
      <x:c r="A4" s="11" t="str">
        <x:v>年份</x:v>
      </x:c>
      <x:c r="B4" s="11" t="str">
        <x:v>指标</x:v>
      </x:c>
      <x:c r="C4" s="11" t="str">
        <x:v>市教委精确数</x:v>
      </x:c>
      <x:c r="D4" s="11" t="str">
        <x:v>公报换算值</x:v>
      </x:c>
      <x:c r="E4" s="11" t="str">
        <x:v>差值</x:v>
      </x:c>
      <x:c r="F4" s="11" t="str">
        <x:v>四舍五入一致</x:v>
      </x:c>
      <x:c r="G4" s="11" t="str">
        <x:v>公报来源</x:v>
      </x:c>
    </x:row>
    <x:row r="5" ht="27" customHeight="1">
      <x:c r="A5" s="15" t="n">
        <x:v>2014</x:v>
      </x:c>
      <x:c r="B5" s="15" t="str">
        <x:v>小学招生</x:v>
      </x:c>
      <x:c r="C5" s="17" t="n">
        <x:f>'入学人口'!D5</x:f>
        <x:v>153249</x:v>
      </x:c>
      <x:c r="D5" s="17" t="n">
        <x:v>153000</x:v>
      </x:c>
      <x:c r="E5" s="17" t="n">
        <x:f>C5-D5</x:f>
        <x:v>249</x:v>
      </x:c>
      <x:c r="F5" s="15" t="str">
        <x:f>IF(ABS(E5)&lt;=500,"是","否")</x:f>
        <x:v>是</x:v>
      </x:c>
      <x:c r="G5" s="15" t="str">
        <x:v>https://tjj.beijing.gov.cn/zxfbu/202002/t20200216_1637247.html</x:v>
      </x:c>
    </x:row>
    <x:row r="6" ht="27" customHeight="1">
      <x:c r="A6" s="15" t="n">
        <x:v>2014</x:v>
      </x:c>
      <x:c r="B6" s="15" t="str">
        <x:v>初中招生</x:v>
      </x:c>
      <x:c r="C6" s="17" t="n">
        <x:f>'入学人口'!E5</x:f>
        <x:v>102693</x:v>
      </x:c>
      <x:c r="D6" s="17" t="n">
        <x:v>103000</x:v>
      </x:c>
      <x:c r="E6" s="17" t="n">
        <x:f>C6-D6</x:f>
        <x:v>-307</x:v>
      </x:c>
      <x:c r="F6" s="15" t="str">
        <x:f>IF(ABS(E6)&lt;=500,"是","否")</x:f>
        <x:v>是</x:v>
      </x:c>
      <x:c r="G6" s="15" t="str">
        <x:v>https://tjj.beijing.gov.cn/zxfbu/202002/t20200216_1637247.html</x:v>
      </x:c>
    </x:row>
    <x:row r="7" ht="27" customHeight="1">
      <x:c r="A7" s="15" t="n">
        <x:v>2014</x:v>
      </x:c>
      <x:c r="B7" s="15" t="str">
        <x:v>普通高中招生</x:v>
      </x:c>
      <x:c r="C7" s="17" t="n">
        <x:f>'入学人口'!F5</x:f>
        <x:v>55184</x:v>
      </x:c>
      <x:c r="D7" s="17" t="n">
        <x:v>55000</x:v>
      </x:c>
      <x:c r="E7" s="17" t="n">
        <x:f>C7-D7</x:f>
        <x:v>184</x:v>
      </x:c>
      <x:c r="F7" s="15" t="str">
        <x:f>IF(ABS(E7)&lt;=500,"是","否")</x:f>
        <x:v>是</x:v>
      </x:c>
      <x:c r="G7" s="15" t="str">
        <x:v>https://tjj.beijing.gov.cn/zxfbu/202002/t20200216_1637247.html</x:v>
      </x:c>
    </x:row>
    <x:row r="8" ht="27" customHeight="1">
      <x:c r="A8" s="15" t="n">
        <x:v>2015</x:v>
      </x:c>
      <x:c r="B8" s="15" t="str">
        <x:v>小学招生</x:v>
      </x:c>
      <x:c r="C8" s="17" t="n">
        <x:f>'入学人口'!D8</x:f>
        <x:v>145876</x:v>
      </x:c>
      <x:c r="D8" s="17" t="n">
        <x:v>146000</x:v>
      </x:c>
      <x:c r="E8" s="17" t="n">
        <x:f>C8-D8</x:f>
        <x:v>-124</x:v>
      </x:c>
      <x:c r="F8" s="15" t="str">
        <x:f>IF(ABS(E8)&lt;=500,"是","否")</x:f>
        <x:v>是</x:v>
      </x:c>
      <x:c r="G8" s="15" t="str">
        <x:v>https://tjj.beijing.gov.cn/tjsj_31433/tjgb_31445/ndgb_31446/202002/t20200216_1643269.html</x:v>
      </x:c>
    </x:row>
    <x:row r="9" ht="27" customHeight="1">
      <x:c r="A9" s="15" t="n">
        <x:v>2015</x:v>
      </x:c>
      <x:c r="B9" s="15" t="str">
        <x:v>初中招生</x:v>
      </x:c>
      <x:c r="C9" s="17" t="n">
        <x:f>'入学人口'!E8</x:f>
        <x:v>89152</x:v>
      </x:c>
      <x:c r="D9" s="17" t="n">
        <x:v>89000</x:v>
      </x:c>
      <x:c r="E9" s="17" t="n">
        <x:f>C9-D9</x:f>
        <x:v>152</x:v>
      </x:c>
      <x:c r="F9" s="15" t="str">
        <x:f>IF(ABS(E9)&lt;=500,"是","否")</x:f>
        <x:v>是</x:v>
      </x:c>
      <x:c r="G9" s="15" t="str">
        <x:v>https://tjj.beijing.gov.cn/tjsj_31433/tjgb_31445/ndgb_31446/202002/t20200216_1643269.html</x:v>
      </x:c>
    </x:row>
    <x:row r="10" ht="27" customHeight="1">
      <x:c r="A10" s="15" t="n">
        <x:v>2015</x:v>
      </x:c>
      <x:c r="B10" s="15" t="str">
        <x:v>普通高中招生</x:v>
      </x:c>
      <x:c r="C10" s="17" t="n">
        <x:f>'入学人口'!F8</x:f>
        <x:v>56743</x:v>
      </x:c>
      <x:c r="D10" s="17" t="n">
        <x:v>57000</x:v>
      </x:c>
      <x:c r="E10" s="17" t="n">
        <x:f>C10-D10</x:f>
        <x:v>-257</x:v>
      </x:c>
      <x:c r="F10" s="15" t="str">
        <x:f>IF(ABS(E10)&lt;=500,"是","否")</x:f>
        <x:v>是</x:v>
      </x:c>
      <x:c r="G10" s="15" t="str">
        <x:v>https://tjj.beijing.gov.cn/tjsj_31433/tjgb_31445/ndgb_31446/202002/t20200216_1643269.html</x:v>
      </x:c>
    </x:row>
    <x:row r="11" ht="27" customHeight="1">
      <x:c r="A11" s="15" t="n">
        <x:v>2016</x:v>
      </x:c>
      <x:c r="B11" s="15" t="str">
        <x:v>小学招生</x:v>
      </x:c>
      <x:c r="C11" s="17" t="n">
        <x:f>'入学人口'!D11</x:f>
        <x:v>145274</x:v>
      </x:c>
      <x:c r="D11" s="17" t="n">
        <x:v>145000</x:v>
      </x:c>
      <x:c r="E11" s="17" t="n">
        <x:f>C11-D11</x:f>
        <x:v>274</x:v>
      </x:c>
      <x:c r="F11" s="15" t="str">
        <x:f>IF(ABS(E11)&lt;=500,"是","否")</x:f>
        <x:v>是</x:v>
      </x:c>
      <x:c r="G11" s="15" t="str">
        <x:v>https://tjj.beijing.gov.cn/tjsj_31433/tjgb_31445/ndgb_31446/202002/t20200216_1643265.html</x:v>
      </x:c>
    </x:row>
    <x:row r="12" ht="27" customHeight="1">
      <x:c r="A12" s="15" t="n">
        <x:v>2016</x:v>
      </x:c>
      <x:c r="B12" s="15" t="str">
        <x:v>初中招生</x:v>
      </x:c>
      <x:c r="C12" s="17" t="n">
        <x:f>'入学人口'!E11</x:f>
        <x:v>91854</x:v>
      </x:c>
      <x:c r="D12" s="17" t="n">
        <x:v>92000</x:v>
      </x:c>
      <x:c r="E12" s="17" t="n">
        <x:f>C12-D12</x:f>
        <x:v>-146</x:v>
      </x:c>
      <x:c r="F12" s="15" t="str">
        <x:f>IF(ABS(E12)&lt;=500,"是","否")</x:f>
        <x:v>是</x:v>
      </x:c>
      <x:c r="G12" s="15" t="str">
        <x:v>https://tjj.beijing.gov.cn/tjsj_31433/tjgb_31445/ndgb_31446/202002/t20200216_1643265.html</x:v>
      </x:c>
    </x:row>
    <x:row r="13" ht="27" customHeight="1">
      <x:c r="A13" s="15" t="n">
        <x:v>2016</x:v>
      </x:c>
      <x:c r="B13" s="15" t="str">
        <x:v>普通高中招生</x:v>
      </x:c>
      <x:c r="C13" s="17" t="n">
        <x:f>'入学人口'!F11</x:f>
        <x:v>53544</x:v>
      </x:c>
      <x:c r="D13" s="17" t="n">
        <x:v>54000</x:v>
      </x:c>
      <x:c r="E13" s="17" t="n">
        <x:f>C13-D13</x:f>
        <x:v>-456</x:v>
      </x:c>
      <x:c r="F13" s="15" t="str">
        <x:f>IF(ABS(E13)&lt;=500,"是","否")</x:f>
        <x:v>是</x:v>
      </x:c>
      <x:c r="G13" s="15" t="str">
        <x:v>https://tjj.beijing.gov.cn/tjsj_31433/tjgb_31445/ndgb_31446/202002/t20200216_1643265.html</x:v>
      </x:c>
    </x:row>
    <x:row r="14" ht="27" customHeight="1">
      <x:c r="A14" s="15" t="n">
        <x:v>2017</x:v>
      </x:c>
      <x:c r="B14" s="15" t="str">
        <x:v>小学招生</x:v>
      </x:c>
      <x:c r="C14" s="17" t="n">
        <x:f>'入学人口'!D14</x:f>
        <x:v>157559</x:v>
      </x:c>
      <x:c r="D14" s="17" t="n">
        <x:v>158000</x:v>
      </x:c>
      <x:c r="E14" s="17" t="n">
        <x:f>C14-D14</x:f>
        <x:v>-441</x:v>
      </x:c>
      <x:c r="F14" s="15" t="str">
        <x:f>IF(ABS(E14)&lt;=500,"是","否")</x:f>
        <x:v>是</x:v>
      </x:c>
      <x:c r="G14" s="15" t="str">
        <x:v>https://tjj.beijing.gov.cn/zxfbu/202002/t20200216_1633939.html</x:v>
      </x:c>
    </x:row>
    <x:row r="15" ht="27" customHeight="1">
      <x:c r="A15" s="15" t="n">
        <x:v>2017</x:v>
      </x:c>
      <x:c r="B15" s="15" t="str">
        <x:v>初中招生</x:v>
      </x:c>
      <x:c r="C15" s="17" t="n">
        <x:f>'入学人口'!E14</x:f>
        <x:v>103263</x:v>
      </x:c>
      <x:c r="D15" s="17" t="n">
        <x:v>103000</x:v>
      </x:c>
      <x:c r="E15" s="17" t="n">
        <x:f>C15-D15</x:f>
        <x:v>263</x:v>
      </x:c>
      <x:c r="F15" s="15" t="str">
        <x:f>IF(ABS(E15)&lt;=500,"是","否")</x:f>
        <x:v>是</x:v>
      </x:c>
      <x:c r="G15" s="15" t="str">
        <x:v>https://tjj.beijing.gov.cn/zxfbu/202002/t20200216_1633939.html</x:v>
      </x:c>
    </x:row>
    <x:row r="16" ht="27" customHeight="1">
      <x:c r="A16" s="15" t="n">
        <x:v>2017</x:v>
      </x:c>
      <x:c r="B16" s="15" t="str">
        <x:v>普通高中招生</x:v>
      </x:c>
      <x:c r="C16" s="17" t="n">
        <x:f>'入学人口'!F14</x:f>
        <x:v>53755</x:v>
      </x:c>
      <x:c r="D16" s="17" t="n">
        <x:v>54000</x:v>
      </x:c>
      <x:c r="E16" s="17" t="n">
        <x:f>C16-D16</x:f>
        <x:v>-245</x:v>
      </x:c>
      <x:c r="F16" s="15" t="str">
        <x:f>IF(ABS(E16)&lt;=500,"是","否")</x:f>
        <x:v>是</x:v>
      </x:c>
      <x:c r="G16" s="15" t="str">
        <x:v>https://tjj.beijing.gov.cn/zxfbu/202002/t20200216_1633939.html</x:v>
      </x:c>
    </x:row>
    <x:row r="17" ht="27" customHeight="1">
      <x:c r="A17" s="15" t="n">
        <x:v>2018</x:v>
      </x:c>
      <x:c r="B17" s="15" t="str">
        <x:v>小学招生</x:v>
      </x:c>
      <x:c r="C17" s="17" t="n">
        <x:f>'入学人口'!D17</x:f>
        <x:v>184339</x:v>
      </x:c>
      <x:c r="D17" s="17" t="n">
        <x:v>184000</x:v>
      </x:c>
      <x:c r="E17" s="17" t="n">
        <x:f>C17-D17</x:f>
        <x:v>339</x:v>
      </x:c>
      <x:c r="F17" s="15" t="str">
        <x:f>IF(ABS(E17)&lt;=500,"是","否")</x:f>
        <x:v>是</x:v>
      </x:c>
      <x:c r="G17" s="15" t="str">
        <x:v>https://tjj.beijing.gov.cn/tjsj_31433/tjgb_31445/ndgb_31446/202002/t20200216_1643263.html</x:v>
      </x:c>
    </x:row>
    <x:row r="18" ht="27" customHeight="1">
      <x:c r="A18" s="15" t="n">
        <x:v>2018</x:v>
      </x:c>
      <x:c r="B18" s="15" t="str">
        <x:v>初中招生</x:v>
      </x:c>
      <x:c r="C18" s="17" t="n">
        <x:f>'入学人口'!E17</x:f>
        <x:v>100984</x:v>
      </x:c>
      <x:c r="D18" s="17" t="n">
        <x:v>101000</x:v>
      </x:c>
      <x:c r="E18" s="17" t="n">
        <x:f>C18-D18</x:f>
        <x:v>-16</x:v>
      </x:c>
      <x:c r="F18" s="15" t="str">
        <x:f>IF(ABS(E18)&lt;=500,"是","否")</x:f>
        <x:v>是</x:v>
      </x:c>
      <x:c r="G18" s="15" t="str">
        <x:v>https://tjj.beijing.gov.cn/tjsj_31433/tjgb_31445/ndgb_31446/202002/t20200216_1643263.html</x:v>
      </x:c>
    </x:row>
    <x:row r="19" ht="27" customHeight="1">
      <x:c r="A19" s="15" t="n">
        <x:v>2018</x:v>
      </x:c>
      <x:c r="B19" s="15" t="str">
        <x:v>普通高中招生</x:v>
      </x:c>
      <x:c r="C19" s="17" t="n">
        <x:f>'入学人口'!F17</x:f>
        <x:v>47355</x:v>
      </x:c>
      <x:c r="D19" s="17" t="n">
        <x:v>47000</x:v>
      </x:c>
      <x:c r="E19" s="17" t="n">
        <x:f>C19-D19</x:f>
        <x:v>355</x:v>
      </x:c>
      <x:c r="F19" s="15" t="str">
        <x:f>IF(ABS(E19)&lt;=500,"是","否")</x:f>
        <x:v>是</x:v>
      </x:c>
      <x:c r="G19" s="15" t="str">
        <x:v>https://tjj.beijing.gov.cn/tjsj_31433/tjgb_31445/ndgb_31446/202002/t20200216_1643263.html</x:v>
      </x:c>
    </x:row>
    <x:row r="20" ht="27" customHeight="1">
      <x:c r="A20" s="15" t="n">
        <x:v>2019</x:v>
      </x:c>
      <x:c r="B20" s="15" t="str">
        <x:v>小学招生</x:v>
      </x:c>
      <x:c r="C20" s="17" t="n">
        <x:f>'入学人口'!D20</x:f>
        <x:v>182873</x:v>
      </x:c>
      <x:c r="D20" s="17" t="n">
        <x:v>183000</x:v>
      </x:c>
      <x:c r="E20" s="17" t="n">
        <x:f>C20-D20</x:f>
        <x:v>-127</x:v>
      </x:c>
      <x:c r="F20" s="15" t="str">
        <x:f>IF(ABS(E20)&lt;=500,"是","否")</x:f>
        <x:v>是</x:v>
      </x:c>
      <x:c r="G20" s="15" t="str">
        <x:v>https://tjj.beijing.gov.cn/tjsj_31433/sjjd_31444/202003/t20200302_1673395.html</x:v>
      </x:c>
    </x:row>
    <x:row r="21" ht="27" customHeight="1">
      <x:c r="A21" s="15" t="n">
        <x:v>2019</x:v>
      </x:c>
      <x:c r="B21" s="15" t="str">
        <x:v>初中招生</x:v>
      </x:c>
      <x:c r="C21" s="17" t="n">
        <x:f>'入学人口'!E20</x:f>
        <x:v>117398</x:v>
      </x:c>
      <x:c r="D21" s="17" t="n">
        <x:v>117000</x:v>
      </x:c>
      <x:c r="E21" s="17" t="n">
        <x:f>C21-D21</x:f>
        <x:v>398</x:v>
      </x:c>
      <x:c r="F21" s="15" t="str">
        <x:f>IF(ABS(E21)&lt;=500,"是","否")</x:f>
        <x:v>是</x:v>
      </x:c>
      <x:c r="G21" s="15" t="str">
        <x:v>https://tjj.beijing.gov.cn/tjsj_31433/sjjd_31444/202003/t20200302_1673395.html</x:v>
      </x:c>
    </x:row>
    <x:row r="22" ht="27" customHeight="1">
      <x:c r="A22" s="15" t="n">
        <x:v>2019</x:v>
      </x:c>
      <x:c r="B22" s="15" t="str">
        <x:v>普通高中招生</x:v>
      </x:c>
      <x:c r="C22" s="17" t="n">
        <x:f>'入学人口'!F20</x:f>
        <x:v>51403</x:v>
      </x:c>
      <x:c r="D22" s="17" t="n">
        <x:v>51000</x:v>
      </x:c>
      <x:c r="E22" s="17" t="n">
        <x:f>C22-D22</x:f>
        <x:v>403</x:v>
      </x:c>
      <x:c r="F22" s="15" t="str">
        <x:f>IF(ABS(E22)&lt;=500,"是","否")</x:f>
        <x:v>是</x:v>
      </x:c>
      <x:c r="G22" s="15" t="str">
        <x:v>https://tjj.beijing.gov.cn/tjsj_31433/sjjd_31444/202003/t20200302_1673395.html</x:v>
      </x:c>
    </x:row>
    <x:row r="23" ht="27" customHeight="1">
      <x:c r="A23" s="15" t="n">
        <x:v>2020</x:v>
      </x:c>
      <x:c r="B23" s="15" t="str">
        <x:v>小学招生</x:v>
      </x:c>
      <x:c r="C23" s="17" t="n">
        <x:f>'入学人口'!D23</x:f>
        <x:v>202157</x:v>
      </x:c>
      <x:c r="D23" s="17" t="n">
        <x:v>202000</x:v>
      </x:c>
      <x:c r="E23" s="17" t="n">
        <x:f>C23-D23</x:f>
        <x:v>157</x:v>
      </x:c>
      <x:c r="F23" s="15" t="str">
        <x:f>IF(ABS(E23)&lt;=500,"是","否")</x:f>
        <x:v>是</x:v>
      </x:c>
      <x:c r="G23" s="15" t="str">
        <x:v>https://tjj.beijing.gov.cn/tjsj_31433/sjjd_31444/202103/t20210311_2304370.html</x:v>
      </x:c>
    </x:row>
    <x:row r="24" ht="27" customHeight="1">
      <x:c r="A24" s="15" t="n">
        <x:v>2020</x:v>
      </x:c>
      <x:c r="B24" s="15" t="str">
        <x:v>初中招生</x:v>
      </x:c>
      <x:c r="C24" s="17" t="n">
        <x:f>'入学人口'!E23</x:f>
        <x:v>122123</x:v>
      </x:c>
      <x:c r="D24" s="17" t="n">
        <x:v>122000</x:v>
      </x:c>
      <x:c r="E24" s="17" t="n">
        <x:f>C24-D24</x:f>
        <x:v>123</x:v>
      </x:c>
      <x:c r="F24" s="15" t="str">
        <x:f>IF(ABS(E24)&lt;=500,"是","否")</x:f>
        <x:v>是</x:v>
      </x:c>
      <x:c r="G24" s="15" t="str">
        <x:v>https://tjj.beijing.gov.cn/tjsj_31433/sjjd_31444/202103/t20210311_2304370.html</x:v>
      </x:c>
    </x:row>
    <x:row r="25" ht="27" customHeight="1">
      <x:c r="A25" s="15" t="n">
        <x:v>2020</x:v>
      </x:c>
      <x:c r="B25" s="15" t="str">
        <x:v>普通高中招生</x:v>
      </x:c>
      <x:c r="C25" s="17" t="n">
        <x:f>'入学人口'!F23</x:f>
        <x:v>61071</x:v>
      </x:c>
      <x:c r="D25" s="17" t="n">
        <x:v>61000</x:v>
      </x:c>
      <x:c r="E25" s="17" t="n">
        <x:f>C25-D25</x:f>
        <x:v>71</x:v>
      </x:c>
      <x:c r="F25" s="15" t="str">
        <x:f>IF(ABS(E25)&lt;=500,"是","否")</x:f>
        <x:v>是</x:v>
      </x:c>
      <x:c r="G25" s="15" t="str">
        <x:v>https://tjj.beijing.gov.cn/tjsj_31433/sjjd_31444/202103/t20210311_2304370.html</x:v>
      </x:c>
    </x:row>
    <x:row r="26" ht="27" customHeight="1">
      <x:c r="A26" s="15" t="n">
        <x:v>2021</x:v>
      </x:c>
      <x:c r="B26" s="15" t="str">
        <x:v>小学招生</x:v>
      </x:c>
      <x:c r="C26" s="17" t="n">
        <x:f>'入学人口'!D26</x:f>
        <x:v>186440</x:v>
      </x:c>
      <x:c r="D26" s="17" t="n">
        <x:v>186000</x:v>
      </x:c>
      <x:c r="E26" s="17" t="n">
        <x:f>C26-D26</x:f>
        <x:v>440</x:v>
      </x:c>
      <x:c r="F26" s="15" t="str">
        <x:f>IF(ABS(E26)&lt;=500,"是","否")</x:f>
        <x:v>是</x:v>
      </x:c>
      <x:c r="G26" s="15" t="str">
        <x:v>https://tjj.beijing.gov.cn/tjsj_31433/sjjd_31444/202202/t20220228_2618115.html</x:v>
      </x:c>
    </x:row>
    <x:row r="27" ht="27" customHeight="1">
      <x:c r="A27" s="15" t="n">
        <x:v>2021</x:v>
      </x:c>
      <x:c r="B27" s="15" t="str">
        <x:v>初中招生</x:v>
      </x:c>
      <x:c r="C27" s="17" t="n">
        <x:f>'入学人口'!E26</x:f>
        <x:v>120431</x:v>
      </x:c>
      <x:c r="D27" s="17" t="n">
        <x:v>120000</x:v>
      </x:c>
      <x:c r="E27" s="17" t="n">
        <x:f>C27-D27</x:f>
        <x:v>431</x:v>
      </x:c>
      <x:c r="F27" s="15" t="str">
        <x:f>IF(ABS(E27)&lt;=500,"是","否")</x:f>
        <x:v>是</x:v>
      </x:c>
      <x:c r="G27" s="15" t="str">
        <x:v>https://tjj.beijing.gov.cn/tjsj_31433/sjjd_31444/202202/t20220228_2618115.html</x:v>
      </x:c>
    </x:row>
    <x:row r="28" ht="27" customHeight="1">
      <x:c r="A28" s="15" t="n">
        <x:v>2021</x:v>
      </x:c>
      <x:c r="B28" s="15" t="str">
        <x:v>普通高中招生</x:v>
      </x:c>
      <x:c r="C28" s="17" t="n">
        <x:f>'入学人口'!F26</x:f>
        <x:v>62263</x:v>
      </x:c>
      <x:c r="D28" s="17" t="n">
        <x:v>62000</x:v>
      </x:c>
      <x:c r="E28" s="17" t="n">
        <x:f>C28-D28</x:f>
        <x:v>263</x:v>
      </x:c>
      <x:c r="F28" s="15" t="str">
        <x:f>IF(ABS(E28)&lt;=500,"是","否")</x:f>
        <x:v>是</x:v>
      </x:c>
      <x:c r="G28" s="15" t="str">
        <x:v>https://tjj.beijing.gov.cn/tjsj_31433/sjjd_31444/202202/t20220228_2618115.html</x:v>
      </x:c>
    </x:row>
    <x:row r="29" ht="27" customHeight="1">
      <x:c r="A29" s="15" t="n">
        <x:v>2022</x:v>
      </x:c>
      <x:c r="B29" s="15" t="str">
        <x:v>小学招生</x:v>
      </x:c>
      <x:c r="C29" s="17" t="n">
        <x:f>'入学人口'!D29</x:f>
        <x:v>189935</x:v>
      </x:c>
      <x:c r="D29" s="17" t="n">
        <x:v>190000</x:v>
      </x:c>
      <x:c r="E29" s="17" t="n">
        <x:f>C29-D29</x:f>
        <x:v>-65</x:v>
      </x:c>
      <x:c r="F29" s="15" t="str">
        <x:f>IF(ABS(E29)&lt;=500,"是","否")</x:f>
        <x:v>是</x:v>
      </x:c>
      <x:c r="G29" s="15" t="str">
        <x:v>https://tjj.beijing.gov.cn/tjsj_31433/tjgb_31445/ndgb_31446/202303/t20230321_2940951.html</x:v>
      </x:c>
    </x:row>
    <x:row r="30" ht="27" customHeight="1">
      <x:c r="A30" s="15" t="n">
        <x:v>2022</x:v>
      </x:c>
      <x:c r="B30" s="15" t="str">
        <x:v>初中招生</x:v>
      </x:c>
      <x:c r="C30" s="17" t="n">
        <x:f>'入学人口'!E29</x:f>
        <x:v>121270</x:v>
      </x:c>
      <x:c r="D30" s="17" t="n">
        <x:v>121000</x:v>
      </x:c>
      <x:c r="E30" s="17" t="n">
        <x:f>C30-D30</x:f>
        <x:v>270</x:v>
      </x:c>
      <x:c r="F30" s="15" t="str">
        <x:f>IF(ABS(E30)&lt;=500,"是","否")</x:f>
        <x:v>是</x:v>
      </x:c>
      <x:c r="G30" s="15" t="str">
        <x:v>https://tjj.beijing.gov.cn/tjsj_31433/tjgb_31445/ndgb_31446/202303/t20230321_2940951.html</x:v>
      </x:c>
    </x:row>
    <x:row r="31" ht="27" customHeight="1">
      <x:c r="A31" s="15" t="n">
        <x:v>2022</x:v>
      </x:c>
      <x:c r="B31" s="15" t="str">
        <x:v>普通高中招生</x:v>
      </x:c>
      <x:c r="C31" s="17" t="n">
        <x:f>'入学人口'!F29</x:f>
        <x:v>74681</x:v>
      </x:c>
      <x:c r="D31" s="17" t="n">
        <x:v>75000</x:v>
      </x:c>
      <x:c r="E31" s="17" t="n">
        <x:f>C31-D31</x:f>
        <x:v>-319</x:v>
      </x:c>
      <x:c r="F31" s="15" t="str">
        <x:f>IF(ABS(E31)&lt;=500,"是","否")</x:f>
        <x:v>是</x:v>
      </x:c>
      <x:c r="G31" s="15" t="str">
        <x:v>https://tjj.beijing.gov.cn/tjsj_31433/tjgb_31445/ndgb_31446/202303/t20230321_2940951.html</x:v>
      </x:c>
    </x:row>
    <x:row r="32" ht="27" customHeight="1">
      <x:c r="A32" s="15" t="n">
        <x:v>2023</x:v>
      </x:c>
      <x:c r="B32" s="15" t="str">
        <x:v>小学招生</x:v>
      </x:c>
      <x:c r="C32" s="17" t="n">
        <x:f>'入学人口'!D32</x:f>
        <x:v>235253</x:v>
      </x:c>
      <x:c r="D32" s="17" t="n">
        <x:v>235000</x:v>
      </x:c>
      <x:c r="E32" s="17" t="n">
        <x:f>C32-D32</x:f>
        <x:v>253</x:v>
      </x:c>
      <x:c r="F32" s="15" t="str">
        <x:f>IF(ABS(E32)&lt;=500,"是","否")</x:f>
        <x:v>是</x:v>
      </x:c>
      <x:c r="G32" s="15" t="str">
        <x:v>https://tjj.beijing.gov.cn/tjsj_31433/tjgb_31445/ndgb_31446/202403/t20240321_3595860.html</x:v>
      </x:c>
    </x:row>
    <x:row r="33" ht="27" customHeight="1">
      <x:c r="A33" s="15" t="n">
        <x:v>2023</x:v>
      </x:c>
      <x:c r="B33" s="15" t="str">
        <x:v>初中招生</x:v>
      </x:c>
      <x:c r="C33" s="17" t="n">
        <x:f>'入学人口'!E32</x:f>
        <x:v>134985</x:v>
      </x:c>
      <x:c r="D33" s="17" t="n">
        <x:v>135000</x:v>
      </x:c>
      <x:c r="E33" s="17" t="n">
        <x:f>C33-D33</x:f>
        <x:v>-15</x:v>
      </x:c>
      <x:c r="F33" s="15" t="str">
        <x:f>IF(ABS(E33)&lt;=500,"是","否")</x:f>
        <x:v>是</x:v>
      </x:c>
      <x:c r="G33" s="15" t="str">
        <x:v>https://tjj.beijing.gov.cn/tjsj_31433/tjgb_31445/ndgb_31446/202403/t20240321_3595860.html</x:v>
      </x:c>
    </x:row>
    <x:row r="34" ht="27" customHeight="1">
      <x:c r="A34" s="15" t="n">
        <x:v>2023</x:v>
      </x:c>
      <x:c r="B34" s="15" t="str">
        <x:v>普通高中招生</x:v>
      </x:c>
      <x:c r="C34" s="17" t="n">
        <x:f>'入学人口'!F32</x:f>
        <x:v>79716</x:v>
      </x:c>
      <x:c r="D34" s="17" t="n">
        <x:v>80000</x:v>
      </x:c>
      <x:c r="E34" s="17" t="n">
        <x:f>C34-D34</x:f>
        <x:v>-284</x:v>
      </x:c>
      <x:c r="F34" s="15" t="str">
        <x:f>IF(ABS(E34)&lt;=500,"是","否")</x:f>
        <x:v>是</x:v>
      </x:c>
      <x:c r="G34" s="15" t="str">
        <x:v>https://tjj.beijing.gov.cn/tjsj_31433/tjgb_31445/ndgb_31446/202403/t20240321_3595860.html</x:v>
      </x:c>
    </x:row>
    <x:row r="35" ht="27" customHeight="1">
      <x:c r="A35" s="15" t="n">
        <x:v>2024</x:v>
      </x:c>
      <x:c r="B35" s="15" t="str">
        <x:v>小学招生</x:v>
      </x:c>
      <x:c r="C35" s="17" t="n">
        <x:f>'入学人口'!D35</x:f>
        <x:v>192706</x:v>
      </x:c>
      <x:c r="D35" s="17" t="n">
        <x:v>193000</x:v>
      </x:c>
      <x:c r="E35" s="17" t="n">
        <x:f>C35-D35</x:f>
        <x:v>-294</x:v>
      </x:c>
      <x:c r="F35" s="15" t="str">
        <x:f>IF(ABS(E35)&lt;=500,"是","否")</x:f>
        <x:v>是</x:v>
      </x:c>
      <x:c r="G35" s="15" t="str">
        <x:v>https://tjj.beijing.gov.cn/tjsj_31433/tjgb_31445/ndgb_31446/202503/t20250319_4038820.html</x:v>
      </x:c>
    </x:row>
    <x:row r="36" ht="27" customHeight="1">
      <x:c r="A36" s="15" t="n">
        <x:v>2024</x:v>
      </x:c>
      <x:c r="B36" s="15" t="str">
        <x:v>初中招生</x:v>
      </x:c>
      <x:c r="C36" s="17" t="n">
        <x:f>'入学人口'!E35</x:f>
        <x:v>161338</x:v>
      </x:c>
      <x:c r="D36" s="17" t="n">
        <x:v>161000</x:v>
      </x:c>
      <x:c r="E36" s="17" t="n">
        <x:f>C36-D36</x:f>
        <x:v>338</x:v>
      </x:c>
      <x:c r="F36" s="15" t="str">
        <x:f>IF(ABS(E36)&lt;=500,"是","否")</x:f>
        <x:v>是</x:v>
      </x:c>
      <x:c r="G36" s="15" t="str">
        <x:v>https://tjj.beijing.gov.cn/tjsj_31433/tjgb_31445/ndgb_31446/202503/t20250319_4038820.html</x:v>
      </x:c>
    </x:row>
    <x:row r="37" ht="27" customHeight="1">
      <x:c r="A37" s="15" t="n">
        <x:v>2024</x:v>
      </x:c>
      <x:c r="B37" s="15" t="str">
        <x:v>普通高中招生</x:v>
      </x:c>
      <x:c r="C37" s="17" t="n">
        <x:f>'入学人口'!F35</x:f>
        <x:v>82137</x:v>
      </x:c>
      <x:c r="D37" s="17" t="n">
        <x:v>82000</x:v>
      </x:c>
      <x:c r="E37" s="17" t="n">
        <x:f>C37-D37</x:f>
        <x:v>137</x:v>
      </x:c>
      <x:c r="F37" s="15" t="str">
        <x:f>IF(ABS(E37)&lt;=500,"是","否")</x:f>
        <x:v>是</x:v>
      </x:c>
      <x:c r="G37" s="15" t="str">
        <x:v>https://tjj.beijing.gov.cn/tjsj_31433/tjgb_31445/ndgb_31446/202503/t20250319_4038820.html</x:v>
      </x:c>
    </x:row>
    <x:row r="38" ht="27" customHeight="1">
      <x:c r="A38" s="15" t="n">
        <x:v>2025</x:v>
      </x:c>
      <x:c r="B38" s="15" t="str">
        <x:v>小学招生</x:v>
      </x:c>
      <x:c r="C38" s="17" t="n">
        <x:f>'入学人口'!D38</x:f>
        <x:v>183445</x:v>
      </x:c>
      <x:c r="D38" s="17" t="n">
        <x:v>183000</x:v>
      </x:c>
      <x:c r="E38" s="17" t="n">
        <x:f>C38-D38</x:f>
        <x:v>445</x:v>
      </x:c>
      <x:c r="F38" s="15" t="str">
        <x:f>IF(ABS(E38)&lt;=500,"是","否")</x:f>
        <x:v>是</x:v>
      </x:c>
      <x:c r="G38" s="15" t="str">
        <x:v>https://tjj.beijing.gov.cn/tjsj_31433/tjgb_31445/ndgb_31446/202603/t20260325_4565494.html</x:v>
      </x:c>
    </x:row>
    <x:row r="39" ht="27" customHeight="1">
      <x:c r="A39" s="15" t="n">
        <x:v>2025</x:v>
      </x:c>
      <x:c r="B39" s="15" t="str">
        <x:v>初中招生</x:v>
      </x:c>
      <x:c r="C39" s="17" t="n">
        <x:f>'入学人口'!E38</x:f>
        <x:v>162349</x:v>
      </x:c>
      <x:c r="D39" s="17" t="n">
        <x:v>162000</x:v>
      </x:c>
      <x:c r="E39" s="17" t="n">
        <x:f>C39-D39</x:f>
        <x:v>349</x:v>
      </x:c>
      <x:c r="F39" s="15" t="str">
        <x:f>IF(ABS(E39)&lt;=500,"是","否")</x:f>
        <x:v>是</x:v>
      </x:c>
      <x:c r="G39" s="15" t="str">
        <x:v>https://tjj.beijing.gov.cn/tjsj_31433/tjgb_31445/ndgb_31446/202603/t20260325_4565494.html</x:v>
      </x:c>
    </x:row>
    <x:row r="40" ht="27" customHeight="1">
      <x:c r="A40" s="15" t="n">
        <x:v>2025</x:v>
      </x:c>
      <x:c r="B40" s="15" t="str">
        <x:v>普通高中招生</x:v>
      </x:c>
      <x:c r="C40" s="17" t="n">
        <x:f>'入学人口'!F38</x:f>
        <x:v>84275</x:v>
      </x:c>
      <x:c r="D40" s="17" t="n">
        <x:v>84000</x:v>
      </x:c>
      <x:c r="E40" s="17" t="n">
        <x:f>C40-D40</x:f>
        <x:v>275</x:v>
      </x:c>
      <x:c r="F40" s="15" t="str">
        <x:f>IF(ABS(E40)&lt;=500,"是","否")</x:f>
        <x:v>是</x:v>
      </x:c>
      <x:c r="G40" s="15" t="str">
        <x:v>https://tjj.beijing.gov.cn/tjsj_31433/tjgb_31445/ndgb_31446/202603/t20260325_4565494.html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2" hidden="0" customWidth="1"/>
    <x:col min="4" max="4" width="12" hidden="0" customWidth="1"/>
    <x:col min="5" max="5" width="22" hidden="0" customWidth="1"/>
  </x:cols>
  <x:sheetData>
    <x:row r="1" ht="34" customHeight="1">
      <x:c r="A1" s="3" t="str">
        <x:v>字段与口径字典</x:v>
      </x:c>
      <x:c r="B1" s="3"/>
      <x:c r="C1" s="3"/>
      <x:c r="D1" s="3"/>
      <x:c r="E1" s="3"/>
    </x:row>
    <x:row r="2" ht="28" customHeight="1">
      <x:c r="A2" s="7" t="str">
        <x:v>前端、分析脚本与研究报告共用这些定义。</x:v>
      </x:c>
      <x:c r="B2" s="7"/>
      <x:c r="C2" s="7"/>
      <x:c r="D2" s="7"/>
      <x:c r="E2" s="7"/>
    </x:row>
    <x:row r="4" ht="24" customHeight="1">
      <x:c r="A4" s="11" t="str">
        <x:v>字段</x:v>
      </x:c>
      <x:c r="B4" s="11" t="str">
        <x:v>中文名称</x:v>
      </x:c>
      <x:c r="C4" s="11" t="str">
        <x:v>定义</x:v>
      </x:c>
      <x:c r="D4" s="11" t="str">
        <x:v>单位</x:v>
      </x:c>
      <x:c r="E4" s="11" t="str">
        <x:v>可否跨年直接比较</x:v>
      </x:c>
    </x:row>
    <x:row r="5" ht="30" customHeight="1">
      <x:c r="A5" s="15" t="str">
        <x:v>primary_admissions</x:v>
      </x:c>
      <x:c r="B5" s="15" t="str">
        <x:v>小学招生</x:v>
      </x:c>
      <x:c r="C5" s="15" t="str">
        <x:v>小学教育招生数，含一贯制学校小学部</x:v>
      </x:c>
      <x:c r="D5" s="15" t="str">
        <x:v>人</x:v>
      </x:c>
      <x:c r="E5" s="15" t="str">
        <x:v>是</x:v>
      </x:c>
    </x:row>
    <x:row r="6" ht="30" customHeight="1">
      <x:c r="A6" s="15" t="str">
        <x:v>junior_high_admissions</x:v>
      </x:c>
      <x:c r="B6" s="15" t="str">
        <x:v>初中招生</x:v>
      </x:c>
      <x:c r="C6" s="15" t="str">
        <x:v>普通初中招生数</x:v>
      </x:c>
      <x:c r="D6" s="15" t="str">
        <x:v>人</x:v>
      </x:c>
      <x:c r="E6" s="15" t="str">
        <x:v>是</x:v>
      </x:c>
    </x:row>
    <x:row r="7" ht="30" customHeight="1">
      <x:c r="A7" s="15" t="str">
        <x:v>senior_high_admissions</x:v>
      </x:c>
      <x:c r="B7" s="15" t="str">
        <x:v>普通高中招生</x:v>
      </x:c>
      <x:c r="C7" s="15" t="str">
        <x:v>普通高中招生数，不含中职</x:v>
      </x:c>
      <x:c r="D7" s="15" t="str">
        <x:v>人</x:v>
      </x:c>
      <x:c r="E7" s="15" t="str">
        <x:v>是</x:v>
      </x:c>
    </x:row>
    <x:row r="8" ht="30" customHeight="1">
      <x:c r="A8" s="15" t="str">
        <x:v>gaokao_population</x:v>
      </x:c>
      <x:c r="B8" s="15" t="str">
        <x:v>高考人口</x:v>
      </x:c>
      <x:c r="C8" s="15" t="str">
        <x:v>报名、参加统一高考或实际参加，逐年保留原口径</x:v>
      </x:c>
      <x:c r="D8" s="15" t="str">
        <x:v>人</x:v>
      </x:c>
      <x:c r="E8" s="15" t="str">
        <x:v>需核对口径</x:v>
      </x:c>
    </x:row>
    <x:row r="9" ht="30" customHeight="1">
      <x:c r="A9" s="15" t="str">
        <x:v>undergraduate_admitted</x:v>
      </x:c>
      <x:c r="B9" s="15" t="str">
        <x:v>本科实际录取</x:v>
      </x:c>
      <x:c r="C9" s="15" t="str">
        <x:v>最终被本科层次录取的考生数</x:v>
      </x:c>
      <x:c r="D9" s="15" t="str">
        <x:v>人</x:v>
      </x:c>
      <x:c r="E9" s="15" t="str">
        <x:v>同口径年份可比</x:v>
      </x:c>
    </x:row>
    <x:row r="10" ht="30" customHeight="1">
      <x:c r="A10" s="15" t="str">
        <x:v>undergraduate_above_cutoff</x:v>
      </x:c>
      <x:c r="B10" s="15" t="str">
        <x:v>本科线及以上</x:v>
      </x:c>
      <x:c r="C10" s="15" t="str">
        <x:v>普通本科控制线及以上累计人数</x:v>
      </x:c>
      <x:c r="D10" s="15" t="str">
        <x:v>人</x:v>
      </x:c>
      <x:c r="E10" s="15" t="str">
        <x:v>是，但不等于录取</x:v>
      </x:c>
    </x:row>
    <x:row r="11" ht="30" customHeight="1">
      <x:c r="A11" s="15" t="str">
        <x:v>confidence</x:v>
      </x:c>
      <x:c r="B11" s="15" t="str">
        <x:v>质量等级</x:v>
      </x:c>
      <x:c r="C11" s="15" t="str">
        <x:v>A官方原始；B权威转引；C媒体历史汇总</x:v>
      </x:c>
      <x:c r="D11" s="15" t="str">
        <x:v>等级</x:v>
      </x:c>
      <x:c r="E11" s="15" t="str">
        <x:v>不适用</x:v>
      </x:c>
    </x:row>
    <x:row r="12" ht="30" customHeight="1">
      <x:c r="A12" s="15" t="str">
        <x:v>precision</x:v>
      </x:c>
      <x:c r="B12" s="15" t="str">
        <x:v>精度</x:v>
      </x:c>
      <x:c r="C12" s="15" t="str">
        <x:v>exact精确；rounded约数；lower_bound_rounded为“余”</x:v>
      </x:c>
      <x:c r="D12" s="15" t="str">
        <x:v>类别</x:v>
      </x:c>
      <x:c r="E12" s="15" t="str">
        <x:v>不适用</x:v>
      </x:c>
    </x:row>
  </x:sheetData>
  <x:mergeCells>
    <x:mergeCell ref="A1:E1"/>
    <x:mergeCell ref="A2:E2"/>
  </x:mergeCells>
  <x:pageMargins left="0.7" right="0.7" top="0.75" bottom="0.75" header="0.3" footer="0.3"/>
</x:worksheet>
</file>